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sepulvedafamily/Desktop/Work/JCI Software Development/"/>
    </mc:Choice>
  </mc:AlternateContent>
  <xr:revisionPtr revIDLastSave="0" documentId="8_{D16E703A-44B0-6048-82B0-F296E007F1DD}" xr6:coauthVersionLast="47" xr6:coauthVersionMax="47" xr10:uidLastSave="{00000000-0000-0000-0000-000000000000}"/>
  <bookViews>
    <workbookView xWindow="0" yWindow="660" windowWidth="34560" windowHeight="21680" tabRatio="829" firstSheet="4" activeTab="4" xr2:uid="{E9DE9BD4-F254-054B-B94E-1020B93E1586}"/>
  </bookViews>
  <sheets>
    <sheet name="Rapid Archive Schedule" sheetId="2" r:id="rId1"/>
    <sheet name="Column Descriptions" sheetId="3" r:id="rId2"/>
    <sheet name="J.R. Instructions" sheetId="19" r:id="rId3"/>
    <sheet name="Manufacturer" sheetId="20" r:id="rId4"/>
    <sheet name="New Empty Scratchpad" sheetId="12" r:id="rId5"/>
    <sheet name="Merge Empty Scratchpad" sheetId="17" r:id="rId6"/>
    <sheet name="New Site Examples" sheetId="16" r:id="rId7"/>
    <sheet name="Merged Site Examples" sheetId="13" r:id="rId8"/>
    <sheet name="VAV SD Parms" sheetId="4" r:id="rId9"/>
    <sheet name="VAV DD Parms" sheetId="5" r:id="rId10"/>
    <sheet name="Heating Valves Parms" sheetId="6" r:id="rId11"/>
    <sheet name="Misc Parms" sheetId="7" r:id="rId12"/>
    <sheet name="Area &amp; K-Factors" sheetId="11" r:id="rId13"/>
  </sheets>
  <externalReferences>
    <externalReference r:id="rId14"/>
  </externalReferences>
  <definedNames>
    <definedName name="_xlnm._FilterDatabase" localSheetId="0" hidden="1">'Rapid Archive Schedule'!$A$4:$Y$4</definedName>
    <definedName name="Controller_List">OFFSET('[1]Room Schedule'!$BC$1,0,0,COUNTA('[1]Room Schedule'!$BC$1:$BC$65536),1)</definedName>
    <definedName name="export_5" localSheetId="0">'Rapid Archive Schedule'!#REF!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2" l="1"/>
  <c r="AC30" i="12"/>
  <c r="AD30" i="12"/>
  <c r="AF30" i="12"/>
  <c r="AG30" i="12"/>
  <c r="R12" i="12"/>
  <c r="E12" i="12"/>
  <c r="R13" i="12"/>
  <c r="E13" i="12"/>
  <c r="R14" i="12"/>
  <c r="E14" i="12"/>
  <c r="D40" i="12"/>
  <c r="F40" i="12"/>
  <c r="D41" i="12"/>
  <c r="F41" i="12"/>
  <c r="D42" i="12"/>
  <c r="F42" i="12"/>
  <c r="D43" i="12"/>
  <c r="F43" i="12"/>
  <c r="D44" i="12"/>
  <c r="F44" i="12"/>
  <c r="D39" i="12"/>
  <c r="F39" i="12"/>
  <c r="R36" i="12"/>
  <c r="E36" i="12"/>
  <c r="F31" i="12"/>
  <c r="F32" i="12"/>
  <c r="F33" i="12"/>
  <c r="F34" i="12"/>
  <c r="F36" i="12"/>
  <c r="R9" i="12"/>
  <c r="E9" i="12"/>
  <c r="F9" i="12"/>
  <c r="F8" i="12"/>
  <c r="R8" i="12"/>
  <c r="E8" i="12"/>
  <c r="F13" i="12"/>
  <c r="F14" i="12"/>
  <c r="F12" i="12"/>
  <c r="R31" i="12"/>
  <c r="E31" i="12"/>
  <c r="R32" i="12"/>
  <c r="E32" i="12"/>
  <c r="R33" i="12"/>
  <c r="E33" i="12"/>
  <c r="R34" i="12"/>
  <c r="E34" i="12"/>
  <c r="R35" i="12"/>
  <c r="E35" i="12"/>
  <c r="R30" i="12"/>
  <c r="E30" i="12"/>
  <c r="D9" i="19"/>
  <c r="F9" i="19"/>
  <c r="D11" i="19"/>
  <c r="R44" i="12"/>
  <c r="E44" i="12"/>
  <c r="R43" i="12"/>
  <c r="E43" i="12"/>
  <c r="R42" i="12"/>
  <c r="E42" i="12"/>
  <c r="R41" i="12"/>
  <c r="E41" i="12"/>
  <c r="R40" i="12"/>
  <c r="E40" i="12"/>
  <c r="F30" i="12"/>
  <c r="R39" i="12"/>
  <c r="E39" i="12"/>
  <c r="R18" i="12"/>
  <c r="E18" i="12"/>
  <c r="R19" i="12"/>
  <c r="E19" i="12"/>
  <c r="R20" i="12"/>
  <c r="E20" i="12"/>
  <c r="R21" i="12"/>
  <c r="E21" i="12"/>
  <c r="R22" i="12"/>
  <c r="E22" i="12"/>
  <c r="R23" i="12"/>
  <c r="E23" i="12"/>
  <c r="R24" i="12"/>
  <c r="E24" i="12"/>
  <c r="R25" i="12"/>
  <c r="E25" i="12"/>
  <c r="R26" i="12"/>
  <c r="E26" i="12"/>
  <c r="R27" i="12"/>
  <c r="E27" i="12"/>
  <c r="R28" i="12"/>
  <c r="E28" i="12"/>
  <c r="R29" i="12"/>
  <c r="E29" i="12"/>
  <c r="R17" i="12"/>
  <c r="E17" i="12"/>
  <c r="F18" i="12"/>
  <c r="F19" i="12"/>
  <c r="F20" i="12"/>
  <c r="F21" i="12"/>
  <c r="F22" i="12"/>
  <c r="F23" i="12"/>
  <c r="F24" i="12"/>
  <c r="F25" i="12"/>
  <c r="F26" i="12"/>
  <c r="F27" i="12"/>
  <c r="F28" i="12"/>
  <c r="F29" i="12"/>
  <c r="F17" i="12"/>
  <c r="AC18" i="12"/>
  <c r="AD18" i="12"/>
  <c r="AC19" i="12"/>
  <c r="AD19" i="12"/>
  <c r="AC20" i="12"/>
  <c r="AD20" i="12"/>
  <c r="AC21" i="12"/>
  <c r="AD21" i="12"/>
  <c r="AC22" i="12"/>
  <c r="AD22" i="12"/>
  <c r="AC23" i="12"/>
  <c r="AD23" i="12"/>
  <c r="AC24" i="12"/>
  <c r="AD24" i="12"/>
  <c r="AC25" i="12"/>
  <c r="AD25" i="12"/>
  <c r="AC26" i="12"/>
  <c r="AD26" i="12"/>
  <c r="AC27" i="12"/>
  <c r="AD27" i="12"/>
  <c r="AC28" i="12"/>
  <c r="AD28" i="12"/>
  <c r="AC29" i="12"/>
  <c r="AD29" i="12"/>
  <c r="AD17" i="12"/>
  <c r="AC17" i="12"/>
  <c r="E9" i="20"/>
  <c r="AG28" i="12"/>
  <c r="Z17" i="20"/>
  <c r="Y17" i="20"/>
  <c r="Z16" i="20"/>
  <c r="Y16" i="20"/>
  <c r="Z15" i="20"/>
  <c r="Y15" i="20"/>
  <c r="Z14" i="20"/>
  <c r="Y14" i="20"/>
  <c r="Z13" i="20"/>
  <c r="Y13" i="20"/>
  <c r="Z12" i="20"/>
  <c r="Y12" i="20"/>
  <c r="Z11" i="20"/>
  <c r="Y11" i="20"/>
  <c r="Z10" i="20"/>
  <c r="Y10" i="20"/>
  <c r="Z9" i="20"/>
  <c r="Y9" i="20"/>
  <c r="Z8" i="20"/>
  <c r="Y8" i="20"/>
  <c r="Z7" i="20"/>
  <c r="Y7" i="20"/>
  <c r="Z6" i="20"/>
  <c r="Y6" i="20"/>
  <c r="Z5" i="20"/>
  <c r="Y5" i="20"/>
  <c r="Z4" i="20"/>
  <c r="Y4" i="20"/>
  <c r="Z3" i="20"/>
  <c r="Y3" i="20"/>
  <c r="Z2" i="20"/>
  <c r="Y2" i="20"/>
  <c r="Z1" i="20"/>
  <c r="Y1" i="20"/>
  <c r="D45" i="20"/>
  <c r="D44" i="20"/>
  <c r="D43" i="20"/>
  <c r="D42" i="20"/>
  <c r="D41" i="20"/>
  <c r="D40" i="20"/>
  <c r="D39" i="20"/>
  <c r="D38" i="20"/>
  <c r="D37" i="20"/>
  <c r="D36" i="20"/>
  <c r="D35" i="20"/>
  <c r="D34" i="20"/>
  <c r="D33" i="20"/>
  <c r="D32" i="20"/>
  <c r="D31" i="20"/>
  <c r="D30" i="20"/>
  <c r="D29" i="20"/>
  <c r="D28" i="20"/>
  <c r="E29" i="20"/>
  <c r="E30" i="20"/>
  <c r="E31" i="20"/>
  <c r="E32" i="20"/>
  <c r="E33" i="20"/>
  <c r="E34" i="20"/>
  <c r="E35" i="20"/>
  <c r="E36" i="20"/>
  <c r="E37" i="20"/>
  <c r="E38" i="20"/>
  <c r="E39" i="20"/>
  <c r="E40" i="20"/>
  <c r="E41" i="20"/>
  <c r="E42" i="20"/>
  <c r="E43" i="20"/>
  <c r="E44" i="20"/>
  <c r="E45" i="20"/>
  <c r="E28" i="20"/>
  <c r="G2" i="20"/>
  <c r="E8" i="20"/>
  <c r="E7" i="20"/>
  <c r="AG17" i="19"/>
  <c r="F2" i="20"/>
  <c r="D5" i="20"/>
  <c r="AD17" i="19"/>
  <c r="AC17" i="19"/>
  <c r="AD16" i="19"/>
  <c r="AC16" i="19"/>
  <c r="AD15" i="19"/>
  <c r="AC15" i="19"/>
  <c r="AD14" i="19"/>
  <c r="AC14" i="19"/>
  <c r="R14" i="19"/>
  <c r="R15" i="19"/>
  <c r="R16" i="19"/>
  <c r="R17" i="19"/>
  <c r="E17" i="19"/>
  <c r="D17" i="19"/>
  <c r="F17" i="19"/>
  <c r="F16" i="19"/>
  <c r="E16" i="19"/>
  <c r="D16" i="19"/>
  <c r="E15" i="19"/>
  <c r="D15" i="19"/>
  <c r="F15" i="19"/>
  <c r="E14" i="19"/>
  <c r="D14" i="19"/>
  <c r="F14" i="19"/>
  <c r="R11" i="19"/>
  <c r="E11" i="19"/>
  <c r="F11" i="19"/>
  <c r="R9" i="19"/>
  <c r="E9" i="19"/>
  <c r="AD13" i="19"/>
  <c r="AC13" i="19"/>
  <c r="R13" i="19"/>
  <c r="E13" i="19"/>
  <c r="D13" i="19"/>
  <c r="F13" i="19"/>
  <c r="D5" i="11"/>
  <c r="E5" i="11"/>
  <c r="D6" i="11"/>
  <c r="E6" i="11"/>
  <c r="D7" i="11"/>
  <c r="E7" i="11"/>
  <c r="D8" i="11"/>
  <c r="E8" i="11"/>
  <c r="D9" i="11"/>
  <c r="E9" i="11"/>
  <c r="D10" i="11"/>
  <c r="E10" i="11"/>
  <c r="D11" i="11"/>
  <c r="E11" i="11"/>
  <c r="D12" i="11"/>
  <c r="E12" i="11"/>
  <c r="D13" i="11"/>
  <c r="E13" i="11"/>
  <c r="D14" i="11"/>
  <c r="E14" i="11"/>
  <c r="D15" i="11"/>
  <c r="E15" i="11"/>
  <c r="D16" i="11"/>
  <c r="E16" i="11"/>
  <c r="D17" i="11"/>
  <c r="E17" i="11"/>
  <c r="D18" i="11"/>
  <c r="E18" i="11"/>
  <c r="D19" i="11"/>
  <c r="E19" i="11"/>
  <c r="D20" i="11"/>
  <c r="E20" i="11"/>
  <c r="D21" i="11"/>
  <c r="E21" i="11"/>
  <c r="D22" i="11"/>
  <c r="E22" i="11"/>
  <c r="E10" i="20"/>
  <c r="E13" i="20"/>
  <c r="AG22" i="12"/>
  <c r="E6" i="20"/>
  <c r="D18" i="20"/>
  <c r="E17" i="20"/>
  <c r="D13" i="20"/>
  <c r="AF17" i="12"/>
  <c r="D16" i="20"/>
  <c r="D14" i="20"/>
  <c r="E5" i="20"/>
  <c r="AG15" i="19"/>
  <c r="D12" i="20"/>
  <c r="AF23" i="12"/>
  <c r="D9" i="20"/>
  <c r="AF29" i="12"/>
  <c r="D10" i="20"/>
  <c r="D8" i="20"/>
  <c r="E11" i="20"/>
  <c r="AG18" i="12"/>
  <c r="D20" i="20"/>
  <c r="D6" i="20"/>
  <c r="D21" i="20"/>
  <c r="D19" i="20"/>
  <c r="D17" i="20"/>
  <c r="D15" i="20"/>
  <c r="D22" i="20"/>
  <c r="E22" i="20"/>
  <c r="D11" i="20"/>
  <c r="AF16" i="19"/>
  <c r="E18" i="20"/>
  <c r="E16" i="20"/>
  <c r="E14" i="20"/>
  <c r="D7" i="20"/>
  <c r="AF24" i="12"/>
  <c r="E15" i="20"/>
  <c r="AF15" i="19"/>
  <c r="AF13" i="19"/>
  <c r="E12" i="20"/>
  <c r="E21" i="20"/>
  <c r="E20" i="20"/>
  <c r="E19" i="20"/>
  <c r="AG23" i="12"/>
  <c r="AG21" i="12"/>
  <c r="AG20" i="12"/>
  <c r="AG13" i="19"/>
  <c r="AF18" i="12"/>
  <c r="AF20" i="12"/>
  <c r="AF26" i="12"/>
  <c r="AF25" i="12"/>
  <c r="AF27" i="12"/>
  <c r="AG19" i="12"/>
  <c r="AG16" i="19"/>
  <c r="AG29" i="12"/>
  <c r="AG24" i="12"/>
  <c r="AG26" i="12"/>
  <c r="AF17" i="19"/>
  <c r="AF21" i="12"/>
  <c r="AG27" i="12"/>
  <c r="AF14" i="19"/>
  <c r="AG14" i="19"/>
  <c r="AF28" i="12"/>
  <c r="AF19" i="12"/>
  <c r="AF22" i="12"/>
  <c r="AG25" i="12"/>
  <c r="AG1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R. Frost</author>
  </authors>
  <commentList>
    <comment ref="D1" authorId="0" shapeId="0" xr:uid="{71D462F3-FFD5-4544-90E7-D6A2379A7A27}">
      <text>
        <r>
          <rPr>
            <b/>
            <sz val="9"/>
            <color indexed="81"/>
            <rFont val="Tahoma"/>
            <family val="2"/>
          </rPr>
          <t>J. R. Frost:</t>
        </r>
        <r>
          <rPr>
            <sz val="9"/>
            <color indexed="81"/>
            <rFont val="Tahoma"/>
            <family val="2"/>
          </rPr>
          <t xml:space="preserve">
Hide this column for hardware submittal</t>
        </r>
      </text>
    </comment>
    <comment ref="E1" authorId="0" shapeId="0" xr:uid="{98CECF75-25E8-D44D-A937-57B9B23EA63C}">
      <text>
        <r>
          <rPr>
            <b/>
            <sz val="9"/>
            <color indexed="81"/>
            <rFont val="Tahoma"/>
            <family val="2"/>
          </rPr>
          <t>J. R. Frost:</t>
        </r>
        <r>
          <rPr>
            <sz val="9"/>
            <color indexed="81"/>
            <rFont val="Tahoma"/>
            <family val="2"/>
          </rPr>
          <t xml:space="preserve">
Hide this column for hardware submittal</t>
        </r>
      </text>
    </comment>
    <comment ref="N1" authorId="0" shapeId="0" xr:uid="{07266152-3C08-5049-9709-1EF8084B74BD}">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O1" authorId="0" shapeId="0" xr:uid="{47082157-CE84-474C-AC68-59A6FF78C1DD}">
      <text>
        <r>
          <rPr>
            <b/>
            <sz val="9"/>
            <color indexed="81"/>
            <rFont val="Tahoma"/>
            <family val="2"/>
          </rPr>
          <t>J. R. Frost:</t>
        </r>
        <r>
          <rPr>
            <sz val="9"/>
            <color indexed="81"/>
            <rFont val="Tahoma"/>
            <family val="2"/>
          </rPr>
          <t xml:space="preserve">
Hide this column for hardware submittal if not used for this submittal. i.e. if it isn't using MSTP controllers, hide the associated columns</t>
        </r>
      </text>
    </comment>
    <comment ref="P1" authorId="0" shapeId="0" xr:uid="{7867D4D6-D4A6-614A-BCDD-769088B71AF4}">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Q1" authorId="0" shapeId="0" xr:uid="{E8647F97-B33E-744C-ADF5-350B52B7000E}">
      <text>
        <r>
          <rPr>
            <b/>
            <sz val="9"/>
            <color indexed="81"/>
            <rFont val="Tahoma"/>
            <family val="2"/>
          </rPr>
          <t>J. R. Frost:</t>
        </r>
        <r>
          <rPr>
            <sz val="9"/>
            <color indexed="81"/>
            <rFont val="Tahoma"/>
            <family val="2"/>
          </rPr>
          <t xml:space="preserve">
Hide this column for hardware submittal if not used for this submittal. i.e. if it isn't using Wireless controllers, hide the associated columns</t>
        </r>
      </text>
    </comment>
    <comment ref="R1" authorId="0" shapeId="0" xr:uid="{D6DE39E9-0D3C-A444-BF27-37CEA46E8EA7}">
      <text>
        <r>
          <rPr>
            <b/>
            <sz val="9"/>
            <color indexed="81"/>
            <rFont val="Tahoma"/>
            <family val="2"/>
          </rPr>
          <t>J. R. Frost:</t>
        </r>
        <r>
          <rPr>
            <sz val="9"/>
            <color indexed="81"/>
            <rFont val="Tahoma"/>
            <family val="2"/>
          </rPr>
          <t xml:space="preserve">
Hide this column for hardware submittal</t>
        </r>
      </text>
    </comment>
    <comment ref="S1" authorId="0" shapeId="0" xr:uid="{BE5FE31D-1E57-5B4D-B091-E4E9C4673A8B}">
      <text>
        <r>
          <rPr>
            <b/>
            <sz val="9"/>
            <color indexed="81"/>
            <rFont val="Tahoma"/>
            <family val="2"/>
          </rPr>
          <t>J. R. Frost:</t>
        </r>
        <r>
          <rPr>
            <sz val="9"/>
            <color indexed="81"/>
            <rFont val="Tahoma"/>
            <family val="2"/>
          </rPr>
          <t xml:space="preserve">
Hide this column for hardware submittal if not used for this submittal. i.e. if it isn't using N2 controllers, hide the associated columns</t>
        </r>
      </text>
    </comment>
    <comment ref="T1" authorId="0" shapeId="0" xr:uid="{42CAA5DA-56DE-354E-BC36-F0FD599C9433}">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U1" authorId="0" shapeId="0" xr:uid="{05651DC5-3607-2B41-B906-C07D82666DF5}">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V1" authorId="0" shapeId="0" xr:uid="{4ED0C997-D76B-0149-9834-47DE776748DB}">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W1" authorId="0" shapeId="0" xr:uid="{00AFE38E-FC9E-2147-9F6D-A1C1FAFCE1FE}">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X1" authorId="0" shapeId="0" xr:uid="{4A3F3134-952F-4540-BB1C-F2F5B8A44428}">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Y1" authorId="0" shapeId="0" xr:uid="{FA5FB757-D9A6-C244-85FE-9D0EEABC4418}">
      <text>
        <r>
          <rPr>
            <b/>
            <sz val="9"/>
            <color indexed="81"/>
            <rFont val="Tahoma"/>
            <family val="2"/>
          </rPr>
          <t>J. R. Frost:</t>
        </r>
        <r>
          <rPr>
            <sz val="9"/>
            <color indexed="81"/>
            <rFont val="Tahoma"/>
            <family val="2"/>
          </rPr>
          <t xml:space="preserve">
Hide this column for hardware submittal if not used for this submittal. i.e. if it isn't using BACnetIP controllers, hide the associated columns</t>
        </r>
      </text>
    </comment>
    <comment ref="Z1" authorId="0" shapeId="0" xr:uid="{337279F9-07A6-0C4E-A368-0C2E2FFC1E7C}">
      <text>
        <r>
          <rPr>
            <b/>
            <sz val="9"/>
            <color indexed="81"/>
            <rFont val="Tahoma"/>
            <family val="2"/>
          </rPr>
          <t>J. R. Frost:</t>
        </r>
        <r>
          <rPr>
            <sz val="9"/>
            <color indexed="81"/>
            <rFont val="Tahoma"/>
            <family val="2"/>
          </rPr>
          <t xml:space="preserve">
Hide this column for hardware submittal</t>
        </r>
      </text>
    </comment>
    <comment ref="A9" authorId="0" shapeId="0" xr:uid="{81240262-1D1F-D648-8EEA-625AB9F4D7E5}">
      <text>
        <r>
          <rPr>
            <b/>
            <sz val="9"/>
            <color indexed="81"/>
            <rFont val="Tahoma"/>
            <family val="2"/>
          </rPr>
          <t>J. R. Frost:</t>
        </r>
        <r>
          <rPr>
            <sz val="9"/>
            <color indexed="81"/>
            <rFont val="Tahoma"/>
            <family val="2"/>
          </rPr>
          <t xml:space="preserve">
Enter the space information to the last segment. For a building wide system, enter the "Site" and that is all.</t>
        </r>
      </text>
    </comment>
    <comment ref="C9" authorId="0" shapeId="0" xr:uid="{6553A804-AF1D-2C47-9928-0424651BFA45}">
      <text>
        <r>
          <rPr>
            <b/>
            <sz val="9"/>
            <color indexed="81"/>
            <rFont val="Tahoma"/>
            <family val="2"/>
          </rPr>
          <t>J. R. Frost:</t>
        </r>
        <r>
          <rPr>
            <sz val="9"/>
            <color indexed="81"/>
            <rFont val="Tahoma"/>
            <family val="2"/>
          </rPr>
          <t xml:space="preserve">
The "Leaf Space" is the most specific indication of what the system serves. For a building side system, the Leaf Space is the Building Name.</t>
        </r>
      </text>
    </comment>
    <comment ref="D9" authorId="0" shapeId="0" xr:uid="{EDB329E7-A3AD-8F43-A294-3D2C51AA0B70}">
      <text>
        <r>
          <rPr>
            <b/>
            <sz val="9"/>
            <color indexed="81"/>
            <rFont val="Tahoma"/>
            <family val="2"/>
          </rPr>
          <t>J. R. Frost:</t>
        </r>
        <r>
          <rPr>
            <sz val="9"/>
            <color indexed="81"/>
            <rFont val="Tahoma"/>
            <family val="2"/>
          </rPr>
          <t xml:space="preserve">
CONCAT("MR-",G9)
CONCAT is the new name for the function CONCATENATE (can use either function name). The function takes strings from multiple locations and combines them into a single string.
This equation is specific to this customer because of how they want their controllers named in the tree. They want their abbreviation for the building combined with the equipment name. To do this, CONTACT the abbreviation with the equipment name. Entering specific text not from a cell requires bracketing the text in quotation marks.</t>
        </r>
      </text>
    </comment>
    <comment ref="E9" authorId="0" shapeId="0" xr:uid="{0A39B19E-3A50-614C-9AD0-04FA246B2EAF}">
      <text>
        <r>
          <rPr>
            <b/>
            <sz val="9"/>
            <color indexed="81"/>
            <rFont val="Tahoma"/>
            <family val="2"/>
          </rPr>
          <t>J. R. Frost:</t>
        </r>
        <r>
          <rPr>
            <sz val="9"/>
            <color indexed="81"/>
            <rFont val="Tahoma"/>
            <family val="2"/>
          </rPr>
          <t xml:space="preserve">
CONCAT(RIGHT(L9,2),RIGHT(M9,1),MID(K9,4,2),"0",RIGHT(R9,2))
CONCAT is the new name for the function CONCATENATE (can use either function name). The function takes strings from multiple locations and combines them into a single string.
RIGHT is a function which selects the last characters from a string. Designate the location of the string and number of characters.
MID is a function with selects characters in the middle of a string. Designate the location of the string, which character in the string to start at, and then how many characters to select.
This equation is setup to match this customer's preferred identifier standard for their controllers. It identifies the engine, the bus, the type of controller, and addressing information of the controller. This is based on a modified version of controller identification from the legacy NAE Point Schedule tool which used to be used for database buliding.</t>
        </r>
      </text>
    </comment>
    <comment ref="F9" authorId="0" shapeId="0" xr:uid="{2BB01F27-726C-AA46-949D-77EF65389C8A}">
      <text>
        <r>
          <rPr>
            <b/>
            <sz val="9"/>
            <color indexed="81"/>
            <rFont val="Tahoma"/>
            <family val="2"/>
          </rPr>
          <t>J. R. Frost:</t>
        </r>
        <r>
          <rPr>
            <sz val="9"/>
            <color indexed="81"/>
            <rFont val="Tahoma"/>
            <family val="2"/>
          </rPr>
          <t xml:space="preserve">
CONCAT(D9," - ",C9,IF(ISBLANK(B9),"",CONCAT(" Rm ",B9)))
IF is a function which evalutes a logical expression and returns 1 of 2 designated responses.
ISBLANK is a logical function with indicates if a cell is blank or not
This equation is built to combine the Device Name, Service space (Leaf Space) and Room Number (if present). This works well for terminal equipment. For larger systems (plant equipment, air handlers), typically replace the Leaf Space and Room with panel number and location (i.e. "Panel P-2 - Mech Rm 109)</t>
        </r>
      </text>
    </comment>
    <comment ref="G9" authorId="0" shapeId="0" xr:uid="{7FB2120A-00C2-7D4E-984C-791D82871303}">
      <text>
        <r>
          <rPr>
            <b/>
            <sz val="9"/>
            <color indexed="81"/>
            <rFont val="Tahoma"/>
            <family val="2"/>
          </rPr>
          <t>J. R. Frost:</t>
        </r>
        <r>
          <rPr>
            <sz val="9"/>
            <color indexed="81"/>
            <rFont val="Tahoma"/>
            <family val="2"/>
          </rPr>
          <t xml:space="preserve">
Equipment designation from mechanical plans</t>
        </r>
      </text>
    </comment>
    <comment ref="H9" authorId="0" shapeId="0" xr:uid="{C2559545-8031-8143-ADF1-9E38594CD1D7}">
      <text>
        <r>
          <rPr>
            <b/>
            <sz val="9"/>
            <color indexed="81"/>
            <rFont val="Tahoma"/>
            <family val="2"/>
          </rPr>
          <t>J. R. Frost:</t>
        </r>
        <r>
          <rPr>
            <sz val="9"/>
            <color indexed="81"/>
            <rFont val="Tahoma"/>
            <family val="2"/>
          </rPr>
          <t xml:space="preserve">
Primary plan page which indicates the physical location of the equipment</t>
        </r>
      </text>
    </comment>
    <comment ref="I9" authorId="0" shapeId="0" xr:uid="{A76157B9-A739-7F40-9887-CBFAE1D9FD24}">
      <text>
        <r>
          <rPr>
            <b/>
            <sz val="9"/>
            <color indexed="81"/>
            <rFont val="Tahoma"/>
            <family val="2"/>
          </rPr>
          <t>J. R. Frost:</t>
        </r>
        <r>
          <rPr>
            <sz val="9"/>
            <color indexed="81"/>
            <rFont val="Tahoma"/>
            <family val="2"/>
          </rPr>
          <t xml:space="preserve">
The list of equipment names which provide service to the equipment. Spelling matters when doing the Software work. For most plant systems, it will be either blank or the specific boiler/chiller/pump integrated devices. For AHUs it will usually be the plant systems which feed the coils.</t>
        </r>
      </text>
    </comment>
    <comment ref="J9" authorId="0" shapeId="0" xr:uid="{E9389254-D796-DA44-A870-5C15D7E393C9}">
      <text>
        <r>
          <rPr>
            <b/>
            <sz val="9"/>
            <color indexed="81"/>
            <rFont val="Tahoma"/>
            <family val="2"/>
          </rPr>
          <t>J. R. Frost:</t>
        </r>
        <r>
          <rPr>
            <sz val="9"/>
            <color indexed="81"/>
            <rFont val="Tahoma"/>
            <family val="2"/>
          </rPr>
          <t xml:space="preserve">
Control drawing page which shows the flow diagram for the system.</t>
        </r>
      </text>
    </comment>
    <comment ref="K9" authorId="0" shapeId="0" xr:uid="{0FA67DB3-4B96-064A-9300-7A24AF98A6FA}">
      <text>
        <r>
          <rPr>
            <b/>
            <sz val="9"/>
            <color indexed="81"/>
            <rFont val="Tahoma"/>
            <family val="2"/>
          </rPr>
          <t>J. R. Frost:</t>
        </r>
        <r>
          <rPr>
            <sz val="9"/>
            <color indexed="81"/>
            <rFont val="Tahoma"/>
            <family val="2"/>
          </rPr>
          <t xml:space="preserve">
The part number for the controller. This can be the common part number (i.e. "CGM09090) or actual part number (M4-CGM09090-0).</t>
        </r>
      </text>
    </comment>
    <comment ref="L9" authorId="0" shapeId="0" xr:uid="{45B0BC5A-F2BE-8D46-AF99-C50CAD33E304}">
      <text>
        <r>
          <rPr>
            <b/>
            <sz val="9"/>
            <color indexed="81"/>
            <rFont val="Tahoma"/>
            <family val="2"/>
          </rPr>
          <t>J. R. Frost:</t>
        </r>
        <r>
          <rPr>
            <sz val="9"/>
            <color indexed="81"/>
            <rFont val="Tahoma"/>
            <family val="2"/>
          </rPr>
          <t xml:space="preserve">
Engine designation. For hardware engineering, this simply needs to reflect the engine name matching the customer's standard. For software engineerig, this has to match character for character of what is in the database</t>
        </r>
      </text>
    </comment>
    <comment ref="M9" authorId="0" shapeId="0" xr:uid="{3AC9A88D-3664-6645-B283-F05D4253F624}">
      <text>
        <r>
          <rPr>
            <b/>
            <sz val="9"/>
            <color indexed="81"/>
            <rFont val="Tahoma"/>
            <family val="2"/>
          </rPr>
          <t>J. R. Frost:</t>
        </r>
        <r>
          <rPr>
            <sz val="9"/>
            <color indexed="81"/>
            <rFont val="Tahoma"/>
            <family val="2"/>
          </rPr>
          <t xml:space="preserve">
Bus designation. Traditionally, this has been a direct reference to the label on the engine or a substitution of FC-1 for FCA</t>
        </r>
      </text>
    </comment>
    <comment ref="N9" authorId="0" shapeId="0" xr:uid="{116BDD31-14F5-4A4D-9041-4F5498A47E34}">
      <text>
        <r>
          <rPr>
            <b/>
            <sz val="9"/>
            <color indexed="81"/>
            <rFont val="Tahoma"/>
            <family val="2"/>
          </rPr>
          <t>J. R. Frost:</t>
        </r>
        <r>
          <rPr>
            <sz val="9"/>
            <color indexed="81"/>
            <rFont val="Tahoma"/>
            <family val="2"/>
          </rPr>
          <t xml:space="preserve">
Only applicable to BacnetIP controllers and still not incorporated RAC functionality at this point</t>
        </r>
      </text>
    </comment>
    <comment ref="O9" authorId="0" shapeId="0" xr:uid="{CF7900D2-71E2-5C46-9245-5133A7F140A9}">
      <text>
        <r>
          <rPr>
            <b/>
            <sz val="9"/>
            <color indexed="81"/>
            <rFont val="Tahoma"/>
            <family val="2"/>
          </rPr>
          <t>J. R. Frost:</t>
        </r>
        <r>
          <rPr>
            <sz val="9"/>
            <color indexed="81"/>
            <rFont val="Tahoma"/>
            <family val="2"/>
          </rPr>
          <t xml:space="preserve">
This is the hardware address of the MS/TP controller. This is assigned by the JCI Hardware engineer. Include this information even for non-JCI controllers on the schedule as the instance number is based on this value</t>
        </r>
      </text>
    </comment>
    <comment ref="P9" authorId="0" shapeId="0" xr:uid="{81BDF0B7-D52F-0840-82D2-AB90280EF869}">
      <text>
        <r>
          <rPr>
            <b/>
            <sz val="9"/>
            <color indexed="81"/>
            <rFont val="Tahoma"/>
            <family val="2"/>
          </rPr>
          <t>J. R. Frost:</t>
        </r>
        <r>
          <rPr>
            <sz val="9"/>
            <color indexed="81"/>
            <rFont val="Tahoma"/>
            <family val="2"/>
          </rPr>
          <t xml:space="preserve">
The equivalent of JCI MAC Address for BACnetIP controllers</t>
        </r>
      </text>
    </comment>
    <comment ref="Q9" authorId="0" shapeId="0" xr:uid="{538A2ED1-42DA-CD46-8D2D-385EF958F0D6}">
      <text>
        <r>
          <rPr>
            <b/>
            <sz val="9"/>
            <color indexed="81"/>
            <rFont val="Tahoma"/>
            <family val="2"/>
          </rPr>
          <t>J. R. Frost:</t>
        </r>
        <r>
          <rPr>
            <sz val="9"/>
            <color indexed="81"/>
            <rFont val="Tahoma"/>
            <family val="2"/>
          </rPr>
          <t xml:space="preserve">
Wireless</t>
        </r>
      </text>
    </comment>
    <comment ref="R9" authorId="0" shapeId="0" xr:uid="{137321EC-254A-5B48-8035-21E110141497}">
      <text>
        <r>
          <rPr>
            <b/>
            <sz val="9"/>
            <color indexed="81"/>
            <rFont val="Tahoma"/>
            <family val="2"/>
          </rPr>
          <t>J. R. Frost:</t>
        </r>
        <r>
          <rPr>
            <sz val="9"/>
            <color indexed="81"/>
            <rFont val="Tahoma"/>
            <family val="2"/>
          </rPr>
          <t xml:space="preserve">
A unique identifying number across the customer network, not simply the bus.
To ensure a unique assignment, use the BACnet Tracking List v2.4.xlsm (or current version if they update it) to cover up to 16 buses per engine.</t>
        </r>
      </text>
    </comment>
    <comment ref="S9" authorId="0" shapeId="0" xr:uid="{98C9D96E-5C47-A943-A641-584DBEF1ED43}">
      <text>
        <r>
          <rPr>
            <b/>
            <sz val="9"/>
            <color indexed="81"/>
            <rFont val="Tahoma"/>
            <family val="2"/>
          </rPr>
          <t>J. R. Frost:</t>
        </r>
        <r>
          <rPr>
            <sz val="9"/>
            <color indexed="81"/>
            <rFont val="Tahoma"/>
            <family val="2"/>
          </rPr>
          <t xml:space="preserve">
N2 address. Typically will on see this on retrofit projects. Use the N2 address of the controller you are replacing. This is sometimes an issue if replacing a VAV or VMA controller with an N2 address over 127</t>
        </r>
      </text>
    </comment>
    <comment ref="T9" authorId="0" shapeId="0" xr:uid="{AACB7672-6706-984E-8391-57219CAA8900}">
      <text>
        <r>
          <rPr>
            <b/>
            <sz val="9"/>
            <color indexed="81"/>
            <rFont val="Tahoma"/>
            <family val="2"/>
          </rPr>
          <t>J. R. Frost:</t>
        </r>
        <r>
          <rPr>
            <sz val="9"/>
            <color indexed="81"/>
            <rFont val="Tahoma"/>
            <family val="2"/>
          </rPr>
          <t xml:space="preserve">
BACnetIP</t>
        </r>
      </text>
    </comment>
    <comment ref="U9" authorId="0" shapeId="0" xr:uid="{59A13D9A-6A53-6A42-9815-3C97C4F1AC0B}">
      <text>
        <r>
          <rPr>
            <b/>
            <sz val="9"/>
            <color indexed="81"/>
            <rFont val="Tahoma"/>
            <family val="2"/>
          </rPr>
          <t>J. R. Frost:</t>
        </r>
        <r>
          <rPr>
            <sz val="9"/>
            <color indexed="81"/>
            <rFont val="Tahoma"/>
            <family val="2"/>
          </rPr>
          <t xml:space="preserve">
BACnetIP</t>
        </r>
      </text>
    </comment>
    <comment ref="V9" authorId="0" shapeId="0" xr:uid="{3D3778E3-9EC5-8F44-98DE-1DDF720ED04E}">
      <text>
        <r>
          <rPr>
            <b/>
            <sz val="9"/>
            <color indexed="81"/>
            <rFont val="Tahoma"/>
            <family val="2"/>
          </rPr>
          <t>J. R. Frost:</t>
        </r>
        <r>
          <rPr>
            <sz val="9"/>
            <color indexed="81"/>
            <rFont val="Tahoma"/>
            <family val="2"/>
          </rPr>
          <t xml:space="preserve">
BACnetIP</t>
        </r>
      </text>
    </comment>
    <comment ref="W9" authorId="0" shapeId="0" xr:uid="{C07CF272-9CE7-C345-9947-D78D5B35A7C9}">
      <text>
        <r>
          <rPr>
            <b/>
            <sz val="9"/>
            <color indexed="81"/>
            <rFont val="Tahoma"/>
            <family val="2"/>
          </rPr>
          <t>J. R. Frost:</t>
        </r>
        <r>
          <rPr>
            <sz val="9"/>
            <color indexed="81"/>
            <rFont val="Tahoma"/>
            <family val="2"/>
          </rPr>
          <t xml:space="preserve">
BACnetIP</t>
        </r>
      </text>
    </comment>
    <comment ref="X9" authorId="0" shapeId="0" xr:uid="{173A4475-9C68-4543-8973-A9D52307DB75}">
      <text>
        <r>
          <rPr>
            <b/>
            <sz val="9"/>
            <color indexed="81"/>
            <rFont val="Tahoma"/>
            <family val="2"/>
          </rPr>
          <t>J. R. Frost:</t>
        </r>
        <r>
          <rPr>
            <sz val="9"/>
            <color indexed="81"/>
            <rFont val="Tahoma"/>
            <family val="2"/>
          </rPr>
          <t xml:space="preserve">
BACnetIP if using Daisy Chain or Ring typography</t>
        </r>
      </text>
    </comment>
    <comment ref="Y9" authorId="0" shapeId="0" xr:uid="{5EC1CD25-A81D-0340-84FA-5581C0E994B8}">
      <text>
        <r>
          <rPr>
            <b/>
            <sz val="9"/>
            <color indexed="81"/>
            <rFont val="Tahoma"/>
            <family val="2"/>
          </rPr>
          <t>J. R. Frost:</t>
        </r>
        <r>
          <rPr>
            <sz val="9"/>
            <color indexed="81"/>
            <rFont val="Tahoma"/>
            <family val="2"/>
          </rPr>
          <t xml:space="preserve">
BACnetIP if using Daisy Chain or Ring typography</t>
        </r>
      </text>
    </comment>
    <comment ref="Z9" authorId="0" shapeId="0" xr:uid="{0779AB61-1DD0-4044-998B-B778C669436A}">
      <text>
        <r>
          <rPr>
            <b/>
            <sz val="9"/>
            <color indexed="81"/>
            <rFont val="Tahoma"/>
            <family val="2"/>
          </rPr>
          <t>J. R. Frost:</t>
        </r>
        <r>
          <rPr>
            <sz val="9"/>
            <color indexed="81"/>
            <rFont val="Tahoma"/>
            <family val="2"/>
          </rPr>
          <t xml:space="preserve">
Match the SCT database</t>
        </r>
      </text>
    </comment>
    <comment ref="AA9" authorId="0" shapeId="0" xr:uid="{133585EC-8303-E34A-BB8B-1DC77F79A571}">
      <text>
        <r>
          <rPr>
            <b/>
            <sz val="9"/>
            <color indexed="81"/>
            <rFont val="Tahoma"/>
            <family val="2"/>
          </rPr>
          <t>J. R. Frost:</t>
        </r>
        <r>
          <rPr>
            <sz val="9"/>
            <color indexed="81"/>
            <rFont val="Tahoma"/>
            <family val="2"/>
          </rPr>
          <t xml:space="preserve">
If there is existing, match the SCT database. If it is new, use a designation which reflects the major funtion of the system. i.e. HWS for Hot Water System, AHU-type for AHUs using the same sequencing.</t>
        </r>
      </text>
    </comment>
    <comment ref="AB9" authorId="0" shapeId="0" xr:uid="{AA9BEAA8-7744-CB42-ACC4-7FA3A796C875}">
      <text>
        <r>
          <rPr>
            <b/>
            <sz val="9"/>
            <color indexed="81"/>
            <rFont val="Tahoma"/>
            <family val="2"/>
          </rPr>
          <t>J. R. Frost:</t>
        </r>
        <r>
          <rPr>
            <sz val="9"/>
            <color indexed="81"/>
            <rFont val="Tahoma"/>
            <family val="2"/>
          </rPr>
          <t xml:space="preserve">
Only applicable to terminal unit control (or an Air System if it serves a single space)</t>
        </r>
      </text>
    </comment>
    <comment ref="A11" authorId="0" shapeId="0" xr:uid="{2A8D6BCA-DBC2-1E44-AD33-86495511EE6D}">
      <text>
        <r>
          <rPr>
            <b/>
            <sz val="9"/>
            <color indexed="81"/>
            <rFont val="Tahoma"/>
            <family val="2"/>
          </rPr>
          <t>J. R. Frost:</t>
        </r>
        <r>
          <rPr>
            <sz val="9"/>
            <color indexed="81"/>
            <rFont val="Tahoma"/>
            <family val="2"/>
          </rPr>
          <t xml:space="preserve">
Enter the space information to the last segment. For a system which serves an area or floor, enter the "Site" and "Building" and that is all.</t>
        </r>
      </text>
    </comment>
    <comment ref="C11" authorId="0" shapeId="0" xr:uid="{1D0361E1-C43F-A24E-BA1B-B35ED628A742}">
      <text>
        <r>
          <rPr>
            <b/>
            <sz val="9"/>
            <color indexed="81"/>
            <rFont val="Tahoma"/>
            <family val="2"/>
          </rPr>
          <t>J. R. Frost:</t>
        </r>
        <r>
          <rPr>
            <sz val="9"/>
            <color indexed="81"/>
            <rFont val="Tahoma"/>
            <family val="2"/>
          </rPr>
          <t xml:space="preserve">
The "Leaf Space" is the most specific indication of what the system serves. For a system which serves an area or floor, the Leaf Space is the overall area or floor.</t>
        </r>
      </text>
    </comment>
    <comment ref="A13" authorId="0" shapeId="0" xr:uid="{C213866D-3DD2-6A48-9902-52E3883DBFC8}">
      <text>
        <r>
          <rPr>
            <b/>
            <sz val="9"/>
            <color indexed="81"/>
            <rFont val="Tahoma"/>
            <family val="2"/>
          </rPr>
          <t>J. R. Frost:</t>
        </r>
        <r>
          <rPr>
            <sz val="9"/>
            <color indexed="81"/>
            <rFont val="Tahoma"/>
            <family val="2"/>
          </rPr>
          <t xml:space="preserve">
Enter the space information to the last segment. For a system which serves a space, enter the "Site" and "Building" and "Floor" and not the space.</t>
        </r>
      </text>
    </comment>
    <comment ref="B13" authorId="0" shapeId="0" xr:uid="{350D0E61-8BEB-854C-8FE5-72813F5BDD55}">
      <text>
        <r>
          <rPr>
            <b/>
            <sz val="9"/>
            <color indexed="81"/>
            <rFont val="Tahoma"/>
            <family val="2"/>
          </rPr>
          <t>J. R. Frost:</t>
        </r>
        <r>
          <rPr>
            <sz val="9"/>
            <color indexed="81"/>
            <rFont val="Tahoma"/>
            <family val="2"/>
          </rPr>
          <t xml:space="preserve">
Room Number is applicable to spaces, not to floors or buildings.</t>
        </r>
      </text>
    </comment>
    <comment ref="C13" authorId="0" shapeId="0" xr:uid="{24CC464F-B896-CE4E-A136-5659EF860C6C}">
      <text>
        <r>
          <rPr>
            <b/>
            <sz val="9"/>
            <color indexed="81"/>
            <rFont val="Tahoma"/>
            <family val="2"/>
          </rPr>
          <t>J. R. Frost:</t>
        </r>
        <r>
          <rPr>
            <sz val="9"/>
            <color indexed="81"/>
            <rFont val="Tahoma"/>
            <family val="2"/>
          </rPr>
          <t xml:space="preserve">
The "Leaf Space" is the most specific indication of what the system serves. For terminal systems, the Leaf Space is space name.</t>
        </r>
      </text>
    </comment>
    <comment ref="AC13" authorId="0" shapeId="0" xr:uid="{CAFF90D1-4CEA-8641-92E7-682EC7774791}">
      <text>
        <r>
          <rPr>
            <b/>
            <sz val="9"/>
            <color indexed="81"/>
            <rFont val="Tahoma"/>
            <family val="2"/>
          </rPr>
          <t>J. R. Frost:</t>
        </r>
        <r>
          <rPr>
            <sz val="9"/>
            <color indexed="81"/>
            <rFont val="Tahoma"/>
            <family val="2"/>
          </rPr>
          <t xml:space="preserve">
IF(AND(NOT(ISBLANK(AA9)),NOT(EXACT(AA9,"VAV-CLG"))),TRUE,FALSE)
AND is a logical function where all arguments have to be true
NOT is a logical function which reverses the output of a logical expression
EXACT is a logical function which checks to see if text strings match exactly
This equation checks the value in Controller Template Name to check if a terminal system has reheat or not</t>
        </r>
      </text>
    </comment>
    <comment ref="AD13" authorId="0" shapeId="0" xr:uid="{84EDF6DF-62B3-0041-9224-95B9284935D8}">
      <text>
        <r>
          <rPr>
            <b/>
            <sz val="9"/>
            <color indexed="81"/>
            <rFont val="Tahoma"/>
            <family val="2"/>
          </rPr>
          <t>J. R. Frost:</t>
        </r>
        <r>
          <rPr>
            <sz val="9"/>
            <color indexed="81"/>
            <rFont val="Tahoma"/>
            <family val="2"/>
          </rPr>
          <t xml:space="preserve">
IF(EXACT(AA13,"VAV-RAD"),TRUE,FALSE)
The equation checks to see if the name in Controller Template Name indicates the terminal system has radiant heating associated with it or not.</t>
        </r>
      </text>
    </comment>
    <comment ref="AE13" authorId="0" shapeId="0" xr:uid="{24D969D7-0500-A04C-9A76-A3DF924C5CBF}">
      <text>
        <r>
          <rPr>
            <b/>
            <sz val="9"/>
            <color indexed="81"/>
            <rFont val="Tahoma"/>
            <family val="2"/>
          </rPr>
          <t>J. R. Frost:</t>
        </r>
        <r>
          <rPr>
            <sz val="9"/>
            <color indexed="81"/>
            <rFont val="Tahoma"/>
            <family val="2"/>
          </rPr>
          <t xml:space="preserve">
Box inlet diameter from the equipment submittal</t>
        </r>
      </text>
    </comment>
    <comment ref="AF13" authorId="0" shapeId="0" xr:uid="{CE766C49-0AE0-0F42-A6C4-35D5D3DC4CAD}">
      <text>
        <r>
          <rPr>
            <b/>
            <sz val="9"/>
            <color indexed="81"/>
            <rFont val="Tahoma"/>
            <family val="2"/>
          </rPr>
          <t>J. R. Frost:</t>
        </r>
        <r>
          <rPr>
            <sz val="9"/>
            <color indexed="81"/>
            <rFont val="Tahoma"/>
            <family val="2"/>
          </rPr>
          <t xml:space="preserve">
VLOOKUP($AE13,Manufacturer!$B$2:$E$22,3)
VLOOKUP is a function which looks for a specifc value in the first column of a table (or array) and returns the value in a specified column of that table on that row
For this equation to work properly when copied to other rows or colunmns, the column reference of the first arguement has to be locked (as above) and the table reference has to be locked (as above) to ensure the value it looks for doesn't change from the "Inlet Size".
This equation look on the Manufacturer's tab to return the area entered for the associated box size. Change the Manufactuter in the drop down on that sheet to update the table. This prevents the need to edit/adapt the functions as entered once the Manufacturer sheet is copied to the project RAC schedule.</t>
        </r>
      </text>
    </comment>
    <comment ref="AG13" authorId="0" shapeId="0" xr:uid="{16FF44BF-8867-D44B-98C3-31795B61092B}">
      <text>
        <r>
          <rPr>
            <b/>
            <sz val="9"/>
            <color indexed="81"/>
            <rFont val="Tahoma"/>
            <family val="2"/>
          </rPr>
          <t>J. R. Frost:</t>
        </r>
        <r>
          <rPr>
            <sz val="9"/>
            <color indexed="81"/>
            <rFont val="Tahoma"/>
            <family val="2"/>
          </rPr>
          <t xml:space="preserve">
VLOOKUP($AE13,Manufacturer!$B$2:$E$22,4)
This equation look on the Area &amp; K-Factors tab to return the flow gain entered for the associated box size. Change the Manufactuter in the drop down on that sheet to update the table. This prevents the need to edit/adapt the functions as entered once the Manufacturer sheet is copied to the project RAC schedule.</t>
        </r>
      </text>
    </comment>
    <comment ref="AH13" authorId="0" shapeId="0" xr:uid="{DF1BB982-4BCC-BE49-8442-AB529DBF6538}">
      <text>
        <r>
          <rPr>
            <b/>
            <sz val="9"/>
            <color indexed="81"/>
            <rFont val="Tahoma"/>
            <family val="2"/>
          </rPr>
          <t>J. R. Frost:</t>
        </r>
        <r>
          <rPr>
            <sz val="9"/>
            <color indexed="81"/>
            <rFont val="Tahoma"/>
            <family val="2"/>
          </rPr>
          <t xml:space="preserve">
Flow SP from the equipment submittal</t>
        </r>
      </text>
    </comment>
    <comment ref="AI13" authorId="0" shapeId="0" xr:uid="{F6CB747B-9682-C442-904A-53D07BC0B4C0}">
      <text>
        <r>
          <rPr>
            <b/>
            <sz val="9"/>
            <color indexed="81"/>
            <rFont val="Tahoma"/>
            <family val="2"/>
          </rPr>
          <t>J. R. Frost:</t>
        </r>
        <r>
          <rPr>
            <sz val="9"/>
            <color indexed="81"/>
            <rFont val="Tahoma"/>
            <family val="2"/>
          </rPr>
          <t xml:space="preserve">
Flow SP from the equipment submittal</t>
        </r>
      </text>
    </comment>
    <comment ref="AJ13" authorId="0" shapeId="0" xr:uid="{27B8E740-4E7B-644E-AC1D-07E49A2F676A}">
      <text>
        <r>
          <rPr>
            <b/>
            <sz val="9"/>
            <color indexed="81"/>
            <rFont val="Tahoma"/>
            <family val="2"/>
          </rPr>
          <t>J. R. Frost:</t>
        </r>
        <r>
          <rPr>
            <sz val="9"/>
            <color indexed="81"/>
            <rFont val="Tahoma"/>
            <family val="2"/>
          </rPr>
          <t xml:space="preserve">
Only applicable if the sequence calls for a reset of air flow in heating mode.</t>
        </r>
      </text>
    </comment>
    <comment ref="AK13" authorId="0" shapeId="0" xr:uid="{5F25CC83-E380-2048-B7C8-C6187731CD08}">
      <text>
        <r>
          <rPr>
            <b/>
            <sz val="9"/>
            <color indexed="81"/>
            <rFont val="Tahoma"/>
            <family val="2"/>
          </rPr>
          <t>J. R. Frost:</t>
        </r>
        <r>
          <rPr>
            <sz val="9"/>
            <color indexed="81"/>
            <rFont val="Tahoma"/>
            <family val="2"/>
          </rPr>
          <t xml:space="preserve">
Flow SP from the equipment submittal</t>
        </r>
      </text>
    </comment>
  </commentList>
</comments>
</file>

<file path=xl/sharedStrings.xml><?xml version="1.0" encoding="utf-8"?>
<sst xmlns="http://schemas.openxmlformats.org/spreadsheetml/2006/main" count="2359" uniqueCount="471">
  <si>
    <t>Yes</t>
  </si>
  <si>
    <t>Space Information</t>
  </si>
  <si>
    <t>Engine Name</t>
  </si>
  <si>
    <t>Controller Template Name</t>
  </si>
  <si>
    <t>Controller Part #</t>
  </si>
  <si>
    <t>All Items / Equipment Tree Information</t>
  </si>
  <si>
    <t>Served By Equipment Name</t>
  </si>
  <si>
    <t>AV3111</t>
  </si>
  <si>
    <t>Default Value</t>
  </si>
  <si>
    <t>AV3112</t>
  </si>
  <si>
    <t>Attribute ID</t>
  </si>
  <si>
    <t>Attribute Type</t>
  </si>
  <si>
    <t>AV3108</t>
  </si>
  <si>
    <t>AV3109</t>
  </si>
  <si>
    <t>AV3110</t>
  </si>
  <si>
    <t>CLG-MAXFLOW</t>
  </si>
  <si>
    <t>CLGOCC-MINFLOW</t>
  </si>
  <si>
    <t>SA-AREA</t>
  </si>
  <si>
    <t>SA-KFACTOR</t>
  </si>
  <si>
    <t>HTGOCC-MINFLOW</t>
  </si>
  <si>
    <t>IP Controller Number</t>
  </si>
  <si>
    <t>ZIGBEE PAN Offset</t>
  </si>
  <si>
    <t>Group</t>
  </si>
  <si>
    <t>Column Heading</t>
  </si>
  <si>
    <t>Equipment Definition Name</t>
  </si>
  <si>
    <t>IP Address</t>
  </si>
  <si>
    <t>Definitions and Templates</t>
  </si>
  <si>
    <t>Trunk Name</t>
  </si>
  <si>
    <t xml:space="preserve">DHCP Enabled </t>
  </si>
  <si>
    <t xml:space="preserve">IP Address </t>
  </si>
  <si>
    <t>Instance # (BACoid)</t>
  </si>
  <si>
    <t>MS-VMA1630-0</t>
  </si>
  <si>
    <t>n/a</t>
  </si>
  <si>
    <t>Subnet Mask</t>
  </si>
  <si>
    <t>Parameters</t>
  </si>
  <si>
    <t>Controller Host Name (Future)</t>
  </si>
  <si>
    <t>ETH-1</t>
  </si>
  <si>
    <t>ETH-2</t>
  </si>
  <si>
    <t>VAV Single Duct</t>
  </si>
  <si>
    <t>Balancer Override SD</t>
  </si>
  <si>
    <t>VAV Single Duct with Exhaust</t>
  </si>
  <si>
    <t>Balancer Override SDX</t>
  </si>
  <si>
    <t>EA-AREA</t>
  </si>
  <si>
    <t>EA-KFACTOR</t>
  </si>
  <si>
    <t>OCCEAFLOW-DIFF</t>
  </si>
  <si>
    <t>AV3116</t>
  </si>
  <si>
    <t>AV3117</t>
  </si>
  <si>
    <t>AV3113</t>
  </si>
  <si>
    <t>AV3114</t>
  </si>
  <si>
    <t>AV3115</t>
  </si>
  <si>
    <t>AV3511</t>
  </si>
  <si>
    <t>AV3512</t>
  </si>
  <si>
    <t>AV3513</t>
  </si>
  <si>
    <t>VAV Damper</t>
  </si>
  <si>
    <t>Exhaust Damper</t>
  </si>
  <si>
    <t>Integrated Actuator</t>
  </si>
  <si>
    <t>DPR-O</t>
  </si>
  <si>
    <t>Hardware</t>
  </si>
  <si>
    <t>Polarity</t>
  </si>
  <si>
    <t>Effective Stroke Time</t>
  </si>
  <si>
    <t>Present Value</t>
  </si>
  <si>
    <t>AO2131</t>
  </si>
  <si>
    <t>Proportional Actuator</t>
  </si>
  <si>
    <t>EAD-O</t>
  </si>
  <si>
    <t>Min Out Value</t>
  </si>
  <si>
    <t>Max Out Value</t>
  </si>
  <si>
    <t>AO2038</t>
  </si>
  <si>
    <t>Incremental Actuator</t>
  </si>
  <si>
    <t>AO2030</t>
  </si>
  <si>
    <t>AO2040</t>
  </si>
  <si>
    <t>VAV Dual Duct</t>
  </si>
  <si>
    <t>Balancer Override DD</t>
  </si>
  <si>
    <t>CD-AREA</t>
  </si>
  <si>
    <t>CD-KFACTOR</t>
  </si>
  <si>
    <t>HD-AREA</t>
  </si>
  <si>
    <t>HD-KFACTOR</t>
  </si>
  <si>
    <t>CDOCC-MINFLOW</t>
  </si>
  <si>
    <t>HTG-MAXFLOW</t>
  </si>
  <si>
    <t>HDOCC-MINFLOW</t>
  </si>
  <si>
    <t>AV3092</t>
  </si>
  <si>
    <t>AV3093</t>
  </si>
  <si>
    <t>AV3096</t>
  </si>
  <si>
    <t>AV3097</t>
  </si>
  <si>
    <t>AV3094</t>
  </si>
  <si>
    <t>AV3098</t>
  </si>
  <si>
    <t>AV3095</t>
  </si>
  <si>
    <t>AV3099</t>
  </si>
  <si>
    <t>VAV Dual Duct with Exhaust</t>
  </si>
  <si>
    <t>Balancer Override DDX</t>
  </si>
  <si>
    <t>AV3100</t>
  </si>
  <si>
    <t>AV3101</t>
  </si>
  <si>
    <t>AV3104</t>
  </si>
  <si>
    <t>AV3105</t>
  </si>
  <si>
    <t>AV3102</t>
  </si>
  <si>
    <t>AV3106</t>
  </si>
  <si>
    <t>AV3103</t>
  </si>
  <si>
    <t>AV3107</t>
  </si>
  <si>
    <t>AV3508</t>
  </si>
  <si>
    <t>AV3509</t>
  </si>
  <si>
    <t>AV3510</t>
  </si>
  <si>
    <t>Cold Deck Damper</t>
  </si>
  <si>
    <t>Hot Deck Damper</t>
  </si>
  <si>
    <t>CD-O</t>
  </si>
  <si>
    <t>HD-O</t>
  </si>
  <si>
    <t>AO2019</t>
  </si>
  <si>
    <t>AO2069</t>
  </si>
  <si>
    <t>AO2018</t>
  </si>
  <si>
    <t>AO2068</t>
  </si>
  <si>
    <t>Box Heating Valve</t>
  </si>
  <si>
    <t>Supplemental Heating Valve</t>
  </si>
  <si>
    <t>HTG-O</t>
  </si>
  <si>
    <t>SUPHTG-O</t>
  </si>
  <si>
    <t>AO2014</t>
  </si>
  <si>
    <t>AO2127</t>
  </si>
  <si>
    <t>AO2015</t>
  </si>
  <si>
    <t>AO2129</t>
  </si>
  <si>
    <t>Miscellaneous Parameters</t>
  </si>
  <si>
    <t>Network Inputs/Outputs</t>
  </si>
  <si>
    <t>Supply Damper Control v51</t>
  </si>
  <si>
    <t>OCC-SCHEDULE</t>
  </si>
  <si>
    <t>SAFLOW-SP</t>
  </si>
  <si>
    <t>MV59</t>
  </si>
  <si>
    <t>AV3384</t>
  </si>
  <si>
    <t>Supply Flow Calculation</t>
  </si>
  <si>
    <t>DA-VP</t>
  </si>
  <si>
    <t>SA-F</t>
  </si>
  <si>
    <t>AV3515</t>
  </si>
  <si>
    <t>AI1094</t>
  </si>
  <si>
    <t>DA-T</t>
  </si>
  <si>
    <t>ZN-T</t>
  </si>
  <si>
    <t>AI1019</t>
  </si>
  <si>
    <t>AI1106</t>
  </si>
  <si>
    <t>NAE-1</t>
  </si>
  <si>
    <t>VAV Boxes - Single Duct</t>
  </si>
  <si>
    <t>IP Router</t>
  </si>
  <si>
    <t>Room Number</t>
  </si>
  <si>
    <t>Room Number
(Optional)</t>
  </si>
  <si>
    <t>Engine Name
(Required)</t>
  </si>
  <si>
    <t>Trunk Name
(Required)</t>
  </si>
  <si>
    <t>Controller Host Name 
(Future)</t>
  </si>
  <si>
    <t>ETH-1
(Optional)</t>
  </si>
  <si>
    <t>Equipment Definition Name (Optional)</t>
  </si>
  <si>
    <t>Controller Template Name (Required)</t>
  </si>
  <si>
    <t>Network Information (MSTP and IP)</t>
  </si>
  <si>
    <t>Network Information 
(MSTP and IP)</t>
  </si>
  <si>
    <t>Reference Only</t>
  </si>
  <si>
    <t>Yes (Optional)</t>
  </si>
  <si>
    <t>Yes
(Unique for MSTP Integrations)</t>
  </si>
  <si>
    <t>Yes
(Unique for IP Integrations)</t>
  </si>
  <si>
    <t>ZigBee PANs Offset</t>
  </si>
  <si>
    <t>See Parameter Worksheet Examples</t>
  </si>
  <si>
    <t>JCI University</t>
  </si>
  <si>
    <t>Training</t>
  </si>
  <si>
    <t>Chiller Plant</t>
  </si>
  <si>
    <t>NCE</t>
  </si>
  <si>
    <t>Hot Water Plant</t>
  </si>
  <si>
    <t>JCI University/Training</t>
  </si>
  <si>
    <t>Floor 1</t>
  </si>
  <si>
    <t>AHU-MASD</t>
  </si>
  <si>
    <t>Floor 2</t>
  </si>
  <si>
    <t>JCI University/Training/Floor 1</t>
  </si>
  <si>
    <t>Electrical Closet</t>
  </si>
  <si>
    <t>VAV-08-CLG</t>
  </si>
  <si>
    <t>VAV-SD-CLG</t>
  </si>
  <si>
    <t>Reception</t>
  </si>
  <si>
    <t>VAV-09-RH</t>
  </si>
  <si>
    <t>VAV-SD-RH</t>
  </si>
  <si>
    <t>Large Conference Room</t>
  </si>
  <si>
    <t>VAV-10-RH</t>
  </si>
  <si>
    <t>Breakout Room 01</t>
  </si>
  <si>
    <t>VAV-11-RH</t>
  </si>
  <si>
    <t>Breakout Room 02</t>
  </si>
  <si>
    <t>VAV-12-RH</t>
  </si>
  <si>
    <t>Breakout Room 03</t>
  </si>
  <si>
    <t>VAV-13-RH</t>
  </si>
  <si>
    <t>Mens Bathroom</t>
  </si>
  <si>
    <t>VAV-14-RH EF</t>
  </si>
  <si>
    <t>VAV-SD-RH-EF-Hum</t>
  </si>
  <si>
    <t>Womens Bathroom</t>
  </si>
  <si>
    <t>VAV-15-RH EF</t>
  </si>
  <si>
    <t>Classroom 01</t>
  </si>
  <si>
    <t>VAV-16-RH</t>
  </si>
  <si>
    <t>Classroom 02</t>
  </si>
  <si>
    <t>VAV-17-RH</t>
  </si>
  <si>
    <t>Classroom 03</t>
  </si>
  <si>
    <t>VAV-18-RH</t>
  </si>
  <si>
    <t>Classroom 04</t>
  </si>
  <si>
    <t>VAV-19-RH</t>
  </si>
  <si>
    <t>Classroom 05</t>
  </si>
  <si>
    <t>VAV-20-RH</t>
  </si>
  <si>
    <t>Storage</t>
  </si>
  <si>
    <t>VAV-21-CLG</t>
  </si>
  <si>
    <t>VAV-21CLG</t>
  </si>
  <si>
    <t>JCI University/Training/Floor 2</t>
  </si>
  <si>
    <t>Elevator Lobby</t>
  </si>
  <si>
    <t>VAV-08-RH</t>
  </si>
  <si>
    <r>
      <t xml:space="preserve">Example Parameter Sheets are provided as part of this spreadsheet.  The example heading data provided in these worksheets can be copied into your master or scratchpad worksheets next to the </t>
    </r>
    <r>
      <rPr>
        <b/>
        <sz val="11"/>
        <color indexed="8"/>
        <rFont val="Calibri"/>
        <family val="2"/>
      </rPr>
      <t>Controller Template Name</t>
    </r>
    <r>
      <rPr>
        <sz val="11"/>
        <color theme="1"/>
        <rFont val="Calibri"/>
        <family val="2"/>
        <scheme val="minor"/>
      </rPr>
      <t xml:space="preserve"> column.  The examples provided are for VAV Box parameters like Box Areas, k-factors and CFM setpoints.  The parameter sheet values can be created from the CCT Trunk Utility Template Files.</t>
    </r>
  </si>
  <si>
    <t>NCE-1</t>
  </si>
  <si>
    <t>- The Controller Part # column is provided as a local reference that does not populate any columns in the Rapid Archive Wizard.</t>
  </si>
  <si>
    <t>Chiller Plant-CPO-ED</t>
  </si>
  <si>
    <t>Chiller Plant-CPO-CT</t>
  </si>
  <si>
    <t>HWS-ED</t>
  </si>
  <si>
    <t>HWS-CT</t>
  </si>
  <si>
    <t>Leaf Space (e.g. Room)
(Required)</t>
  </si>
  <si>
    <t>Site/Building/Floor
(Required)</t>
  </si>
  <si>
    <r>
      <t xml:space="preserve">Central Plant Examples (MSTP Network Information)
</t>
    </r>
    <r>
      <rPr>
        <sz val="11"/>
        <color indexed="8"/>
        <rFont val="Arial"/>
        <family val="2"/>
      </rPr>
      <t xml:space="preserve">- For Central Plant </t>
    </r>
    <r>
      <rPr>
        <b/>
        <sz val="11"/>
        <color indexed="8"/>
        <rFont val="Arial"/>
        <family val="2"/>
      </rPr>
      <t>Space Information</t>
    </r>
    <r>
      <rPr>
        <sz val="11"/>
        <color indexed="8"/>
        <rFont val="Arial"/>
        <family val="2"/>
      </rPr>
      <t>, a sites campus name is typically entered under the Site/Bldg./Floor column and a Building Name entered as the Leaf Space.
- For</t>
    </r>
    <r>
      <rPr>
        <b/>
        <sz val="11"/>
        <color indexed="8"/>
        <rFont val="Arial"/>
        <family val="2"/>
      </rPr>
      <t xml:space="preserve"> All Items / Equipment Tree Information</t>
    </r>
    <r>
      <rPr>
        <sz val="11"/>
        <color indexed="8"/>
        <rFont val="Arial"/>
        <family val="2"/>
      </rPr>
      <t xml:space="preserve">, the Device and Equipment Names can be simple but you do have the option to create a more unique FQR Reference name so the information displayed in SMP views is more detailed.
- There are typically no </t>
    </r>
    <r>
      <rPr>
        <b/>
        <sz val="11"/>
        <color indexed="8"/>
        <rFont val="Arial"/>
        <family val="2"/>
      </rPr>
      <t>Served By Equipment Names</t>
    </r>
    <r>
      <rPr>
        <sz val="11"/>
        <color indexed="8"/>
        <rFont val="Arial"/>
        <family val="2"/>
      </rPr>
      <t xml:space="preserve"> for Central Plants unless the boilers, chillers, pumps etc. are created as unique Equipment instances after the Plant System Equipment is created.
- Remember to setup the </t>
    </r>
    <r>
      <rPr>
        <b/>
        <sz val="11"/>
        <color indexed="8"/>
        <rFont val="Arial"/>
        <family val="2"/>
      </rPr>
      <t>Point Name Display</t>
    </r>
    <r>
      <rPr>
        <sz val="11"/>
        <color indexed="8"/>
        <rFont val="Arial"/>
        <family val="2"/>
      </rPr>
      <t xml:space="preserve"> attributes in the Controller Templates to match the desired Point Naming strategy for the site.
- It is reccommended that you create unique names for the Equipment and Controller Templates for Central Plants because they are typically not reused on other plant systems.</t>
    </r>
  </si>
  <si>
    <r>
      <t xml:space="preserve">Air Handling Unit Example (MSTP Network Information)
</t>
    </r>
    <r>
      <rPr>
        <sz val="14"/>
        <color indexed="8"/>
        <rFont val="Arial"/>
        <family val="2"/>
      </rPr>
      <t>-</t>
    </r>
    <r>
      <rPr>
        <b/>
        <sz val="14"/>
        <color indexed="8"/>
        <rFont val="Arial"/>
        <family val="2"/>
      </rPr>
      <t xml:space="preserve"> </t>
    </r>
    <r>
      <rPr>
        <sz val="11"/>
        <color indexed="8"/>
        <rFont val="Arial"/>
        <family val="2"/>
      </rPr>
      <t xml:space="preserve">For AHU </t>
    </r>
    <r>
      <rPr>
        <b/>
        <sz val="11"/>
        <color indexed="8"/>
        <rFont val="Arial"/>
        <family val="2"/>
      </rPr>
      <t>Space Information</t>
    </r>
    <r>
      <rPr>
        <sz val="11"/>
        <color indexed="8"/>
        <rFont val="Arial"/>
        <family val="2"/>
      </rPr>
      <t xml:space="preserve">, a floor or building becomes the Leaf Space.
- For </t>
    </r>
    <r>
      <rPr>
        <b/>
        <sz val="11"/>
        <color indexed="8"/>
        <rFont val="Arial"/>
        <family val="2"/>
      </rPr>
      <t>All Items / Equipment Tree Information</t>
    </r>
    <r>
      <rPr>
        <sz val="11"/>
        <color indexed="8"/>
        <rFont val="Arial"/>
        <family val="2"/>
      </rPr>
      <t xml:space="preserve">, the Device and Equipment Names can be simple but you do have the option to create a more unique FQR Reference name so the information displayed in SMP views is more detailed.
- You have the option to add 1 </t>
    </r>
    <r>
      <rPr>
        <b/>
        <sz val="11"/>
        <color indexed="8"/>
        <rFont val="Arial"/>
        <family val="2"/>
      </rPr>
      <t>Served By Equipment Name</t>
    </r>
    <r>
      <rPr>
        <sz val="11"/>
        <color indexed="8"/>
        <rFont val="Arial"/>
        <family val="2"/>
      </rPr>
      <t xml:space="preserve"> in the template for one of the Central Plants.  Other Central Plants serving the AHUs will have to be added manaually after the Rapid Archive Process is performed.
- Remember to setup the Point Name Display attributes in the Controller Template to match the desired Point Naming strategy for the site.
- It is reccommended that you try to reuse a common Equipment Definition for all AHUs of the same basic Mechanical Equipment Type even if the Controller Templates / CAF Files for each AHU may be slightly different.  </t>
    </r>
  </si>
  <si>
    <t>- When DHCP Enabled is set to True, this column can be blank.
- When DHCP Enabled is set to False, the IP Address, Subnet Mask and IP Router columns in the RAC Spreadsheet must be populated.</t>
  </si>
  <si>
    <t>Yes 
(Only when DHCP Enabled = False)</t>
  </si>
  <si>
    <t>Site/Building/Floor</t>
  </si>
  <si>
    <t>Leaf Space (e.g. Room)</t>
  </si>
  <si>
    <t>RAC Use</t>
  </si>
  <si>
    <t>Yes
(Optional)</t>
  </si>
  <si>
    <r>
      <t>- Enter</t>
    </r>
    <r>
      <rPr>
        <b/>
        <sz val="11"/>
        <color indexed="8"/>
        <rFont val="Calibri"/>
        <family val="2"/>
      </rPr>
      <t xml:space="preserve"> True</t>
    </r>
    <r>
      <rPr>
        <sz val="11"/>
        <color theme="1"/>
        <rFont val="Calibri"/>
        <family val="2"/>
        <scheme val="minor"/>
      </rPr>
      <t xml:space="preserve"> or </t>
    </r>
    <r>
      <rPr>
        <b/>
        <sz val="11"/>
        <color indexed="8"/>
        <rFont val="Calibri"/>
        <family val="2"/>
      </rPr>
      <t>False</t>
    </r>
    <r>
      <rPr>
        <sz val="11"/>
        <color theme="1"/>
        <rFont val="Calibri"/>
        <family val="2"/>
        <scheme val="minor"/>
      </rPr>
      <t xml:space="preserve"> to enable or disable DHCP for each IP controller.
- When set to True, the IP Address, Subnet Mask and IP Router columns column can be left blank.
- When set to False, the IP Address, Subnet Mask and IP Router columns in the RAC Spreadsheet must be populated.</t>
    </r>
  </si>
  <si>
    <t>Instance Number (BACoid)</t>
  </si>
  <si>
    <t>- The ETH-1 Column is provided as a reference to show how the IP trunk cabling connections are made.  If a daisy chain network is created, the ETH-1 and EHT-2 columns can be used to show how the daisy chain was created.</t>
  </si>
  <si>
    <t>- It is recommended to leave this column blank.  During the RAC import process, unique instance numbers will be automatically be created that are unique to the site archive you are working in. 
- When this column is populated, the RAC import process only validates Instance Number uniqueness for the new devices being added - not against devices that already exist in the archive.
- This column populates the Instance Number column in the Rapid Archive Wizard.</t>
  </si>
  <si>
    <t xml:space="preserve">- The ZigBee PANs Offset column is provided as a local reference column for users configuring a WNC mesh and does not populate any columns in the Rapid Archive Wizard.
- The WNC integration is setup as a Remote Field Bus integration </t>
  </si>
  <si>
    <t>JCI MAC Address</t>
  </si>
  <si>
    <t>JCI MAC  Address</t>
  </si>
  <si>
    <r>
      <t xml:space="preserve">Terminal Unit Examples (MSTP Integrations)
</t>
    </r>
    <r>
      <rPr>
        <sz val="11"/>
        <color indexed="8"/>
        <rFont val="Arial"/>
        <family val="2"/>
      </rPr>
      <t>- For Terminal Unit Space Information, a Room is typically the Leaf Space.
- An Optional</t>
    </r>
    <r>
      <rPr>
        <b/>
        <sz val="11"/>
        <color indexed="8"/>
        <rFont val="Arial"/>
        <family val="2"/>
      </rPr>
      <t xml:space="preserve"> Room Number </t>
    </r>
    <r>
      <rPr>
        <sz val="11"/>
        <color indexed="8"/>
        <rFont val="Arial"/>
        <family val="2"/>
      </rPr>
      <t>can be added as a reference from the mechanical plans until the official Room names are known.
- You have the option to add 1 Served By Equipment Name in the template.  For VAV Boxes, this is typically an AHU and for Fan Coils it could be a Heating or Cooling Central Plan.  Other serving relationships will have to be added manaually after the Rapid Archive Process is performed.
- Remember to setup the Point Name Display attributes in the Controller Template to match the desired Point Naming strategy for the site.</t>
    </r>
  </si>
  <si>
    <r>
      <t xml:space="preserve">VAV Boxes (IP Field Controllers)
</t>
    </r>
    <r>
      <rPr>
        <sz val="11"/>
        <color indexed="8"/>
        <rFont val="Arial"/>
        <family val="2"/>
      </rPr>
      <t>- For Terminal Unit Space Information, a Room is typically the Leaf Space.
- An Optional Room Number can be added as a reference from the mechanical plans until the official Room names are known.
- You have the option to add 1 Served By Equipment Name in the template.  For VAV Boxes, this is typically an AHU and for Fan Coils it could be a Heating or Cooling Central Plan.  Other serving relationships will have to be added manaually after the Rapid Archive Process is performed.
- Remember to setup the Point Name Display attributes in the Controller Template to match the desired Point Naming strategy for the site.</t>
    </r>
  </si>
  <si>
    <t xml:space="preserve">- The Controller Host Name column is provided as a local reference that does not populate any columns in the Rapid Archive Wizard. </t>
  </si>
  <si>
    <t>Anemostat</t>
  </si>
  <si>
    <t>Carnes Standard</t>
  </si>
  <si>
    <t>Carnes Cross-Flow</t>
  </si>
  <si>
    <t>Carrier</t>
  </si>
  <si>
    <t>EH Price SD/FP/DD Inlet Boxes</t>
  </si>
  <si>
    <t>Environmental Tech. 45 deg travel (Largo)</t>
  </si>
  <si>
    <t>VAV Box Duct Size</t>
  </si>
  <si>
    <t>Area</t>
  </si>
  <si>
    <t>K Factor</t>
  </si>
  <si>
    <t>EnviroTech 90deg Travel (Largo)</t>
  </si>
  <si>
    <t>Krueger</t>
  </si>
  <si>
    <t>Metal Industries</t>
  </si>
  <si>
    <t>Nailor</t>
  </si>
  <si>
    <t>Redd-i</t>
  </si>
  <si>
    <t>Temperature Industries</t>
  </si>
  <si>
    <t>Tempmaster (York)</t>
  </si>
  <si>
    <t>Titus</t>
  </si>
  <si>
    <t>Tuttle and Bailey</t>
  </si>
  <si>
    <t>VariTrane F-Style Boxes</t>
  </si>
  <si>
    <t>If you have an unknown manufacture, or the manufacturre is not listed in this sheet, use the K Factors below.</t>
  </si>
  <si>
    <t>Average K Factor</t>
  </si>
  <si>
    <t>Generic VAV Box</t>
  </si>
  <si>
    <t>Electric Heat</t>
  </si>
  <si>
    <t>HTG-MINFLOW</t>
  </si>
  <si>
    <t>AV3268</t>
  </si>
  <si>
    <t>Minimum Flow Determiniation</t>
  </si>
  <si>
    <t>Field Bus MSTP1</t>
  </si>
  <si>
    <t>Field Bus MSTP2</t>
  </si>
  <si>
    <t>RAC-4096</t>
  </si>
  <si>
    <t>RAC-4144</t>
  </si>
  <si>
    <t>RAC-4112</t>
  </si>
  <si>
    <t>RAC-4128</t>
  </si>
  <si>
    <t>RAC-4400</t>
  </si>
  <si>
    <t>RAC-4416</t>
  </si>
  <si>
    <t>RAC-4432</t>
  </si>
  <si>
    <t>RAC-4448</t>
  </si>
  <si>
    <t>RAC-4160</t>
  </si>
  <si>
    <t>RAC-4176</t>
  </si>
  <si>
    <t>RAC-4192</t>
  </si>
  <si>
    <t>RAC-4208</t>
  </si>
  <si>
    <t>RAC-4224</t>
  </si>
  <si>
    <t>RAC-4240</t>
  </si>
  <si>
    <t>RAC-4256</t>
  </si>
  <si>
    <t>RAC-4272</t>
  </si>
  <si>
    <t>RAC-4288</t>
  </si>
  <si>
    <t>RAC-4304</t>
  </si>
  <si>
    <t>RAC-4320</t>
  </si>
  <si>
    <t>RAC-4336</t>
  </si>
  <si>
    <t>RAC-4352</t>
  </si>
  <si>
    <t>RAC-4368</t>
  </si>
  <si>
    <t>RAC-4384</t>
  </si>
  <si>
    <t>Equipment Name</t>
  </si>
  <si>
    <t>Device FQR Reference 
(Required)</t>
  </si>
  <si>
    <t>Device Name
(Required)</t>
  </si>
  <si>
    <t>RAC-4166</t>
  </si>
  <si>
    <t>RAC-4170</t>
  </si>
  <si>
    <t>Device Description</t>
  </si>
  <si>
    <t>N2Address</t>
  </si>
  <si>
    <t>RAC-4311</t>
  </si>
  <si>
    <t>Device Description
(Optional)</t>
  </si>
  <si>
    <t>Equipment Name
(Optional)</t>
  </si>
  <si>
    <t>Served By Equipment Name
(Optional)</t>
  </si>
  <si>
    <t>Controller Part #
(Optional)</t>
  </si>
  <si>
    <t>ETH-2
(Optional)</t>
  </si>
  <si>
    <t>Device Name</t>
  </si>
  <si>
    <t>Device FQR Reference</t>
  </si>
  <si>
    <t>New - this used to say Device and Equipment FQR</t>
  </si>
  <si>
    <t>Network / Equipment Tree Information</t>
  </si>
  <si>
    <t>FAC-1632</t>
  </si>
  <si>
    <t>AHU-MASP-1</t>
  </si>
  <si>
    <t>AHU-MASP-2</t>
  </si>
  <si>
    <t>FAC-NAE1-1-06-MASP</t>
  </si>
  <si>
    <t>FAC-NAE1-2-06-MASP</t>
  </si>
  <si>
    <t>FAC-NCE-1-1-05</t>
  </si>
  <si>
    <t>AHU-MASD-ED</t>
  </si>
  <si>
    <t>Bathroom Exhuast</t>
  </si>
  <si>
    <t>VAV-SD-CLG-08</t>
  </si>
  <si>
    <t>VAV-SD-RH-09</t>
  </si>
  <si>
    <t>VAV-SD-RH-10</t>
  </si>
  <si>
    <t>VAV-SD-RH-11</t>
  </si>
  <si>
    <t>VAV-SD-RH-12</t>
  </si>
  <si>
    <t>VAV-SD-RH-13</t>
  </si>
  <si>
    <t>VAV-SD-RH-14</t>
  </si>
  <si>
    <t>Bath EF-14</t>
  </si>
  <si>
    <t>VAV-SD-RH-EF-Hum-15</t>
  </si>
  <si>
    <t>Bath EF-15</t>
  </si>
  <si>
    <t>VAV-SD-RH-16</t>
  </si>
  <si>
    <t>VAV-SD-RH-17</t>
  </si>
  <si>
    <t>VAV-SD-RH-18</t>
  </si>
  <si>
    <t>VAV-SD-RH-19</t>
  </si>
  <si>
    <t>VAV-SD-RH-20</t>
  </si>
  <si>
    <t>VAV-SD-CLG-21</t>
  </si>
  <si>
    <t>VAV-SD-RH-8</t>
  </si>
  <si>
    <t>VAV-SD-RH-9</t>
  </si>
  <si>
    <t>AHU-MASP-1*Chiller Plant</t>
  </si>
  <si>
    <t>F1M11</t>
  </si>
  <si>
    <t>F1M12</t>
  </si>
  <si>
    <t>F1M13</t>
  </si>
  <si>
    <t>F1M14</t>
  </si>
  <si>
    <t>F1M15</t>
  </si>
  <si>
    <t>F1M16</t>
  </si>
  <si>
    <t>F1M01</t>
  </si>
  <si>
    <t>F1M02</t>
  </si>
  <si>
    <t>F1M03</t>
  </si>
  <si>
    <t>F1M04</t>
  </si>
  <si>
    <t>F1M05</t>
  </si>
  <si>
    <t>F1M06</t>
  </si>
  <si>
    <t>F1M07</t>
  </si>
  <si>
    <t>F1M09</t>
  </si>
  <si>
    <t>F2M01</t>
  </si>
  <si>
    <t>F2M02</t>
  </si>
  <si>
    <t>F2M03</t>
  </si>
  <si>
    <t>NCE-1-Integrated-04</t>
  </si>
  <si>
    <t>Equipment Name
(Required)</t>
  </si>
  <si>
    <t xml:space="preserve">- Enter the Controller's FQR as you want it to appear in the SCT and SMP UI and tool tips. 
- This column populates the Item Reference name with the fully qualified reference in the Rapid Archive Wizard.
</t>
  </si>
  <si>
    <t>- This column has been added at Release 13
- You can now create unique Device Names and Equipment Names during the RAC process.</t>
  </si>
  <si>
    <t>None</t>
  </si>
  <si>
    <t>New workflow process to re-label Space Names using the Update Object Label feature.</t>
  </si>
  <si>
    <t>New - the Device and Equipment Name are unique at Release 13</t>
  </si>
  <si>
    <t>- The JCI MAC Address is the 8 position dip switch setting on the MSTP controllers or the Rotary switch settings on the Release 10 Field Controllers.. 
- The uniqueness of the MAC addresses per MSTP integration will be validated during the import into the Rapid Archive Wizard.</t>
  </si>
  <si>
    <t>At Release 10, all MSTP field controllers use rotary switches to set the JCI MAC address instead of the 8 position dip switch.</t>
  </si>
  <si>
    <t xml:space="preserve">Required in New Site Creation
Not Required when updating existing sites with Spaces and Equipment
</t>
  </si>
  <si>
    <t>Reference Only in New Site Creation
Required  when updating existing sites with Spaces and Equipment</t>
  </si>
  <si>
    <r>
      <t>- Enter the Leaf Space associated to the Site/Building/Floor hierarchy that is associated to the Equipment being created for the leaf space.</t>
    </r>
    <r>
      <rPr>
        <b/>
        <sz val="11"/>
        <color indexed="8"/>
        <rFont val="Calibri"/>
        <family val="2"/>
      </rPr>
      <t xml:space="preserve">
- </t>
    </r>
    <r>
      <rPr>
        <sz val="11"/>
        <color theme="1"/>
        <rFont val="Calibri"/>
        <family val="2"/>
        <scheme val="minor"/>
      </rPr>
      <t xml:space="preserve">See the "New Site Examples" worksheet for how terminal unit, AHU and plant equipment schedules Space and Equipment relationships are created against the Leaf Space.
- </t>
    </r>
    <r>
      <rPr>
        <b/>
        <sz val="11"/>
        <color indexed="8"/>
        <rFont val="Calibri"/>
        <family val="2"/>
      </rPr>
      <t xml:space="preserve">Note: </t>
    </r>
    <r>
      <rPr>
        <sz val="11"/>
        <color theme="1"/>
        <rFont val="Calibri"/>
        <family val="2"/>
        <scheme val="minor"/>
      </rPr>
      <t>The data populated in this column is added to the field contollers description attribute during the creation of a new Site for MUI.
-</t>
    </r>
    <r>
      <rPr>
        <b/>
        <sz val="11"/>
        <color indexed="8"/>
        <rFont val="Calibri"/>
        <family val="2"/>
      </rPr>
      <t xml:space="preserve"> Note</t>
    </r>
    <r>
      <rPr>
        <sz val="11"/>
        <color theme="1"/>
        <rFont val="Calibri"/>
        <family val="2"/>
        <scheme val="minor"/>
      </rPr>
      <t xml:space="preserve">: The updated Facility Menu Item in SCT allows you to export all the Space Labels into a spreadsheet.  With this new feature, Space labels can be added in the spreadsheet and quickly merged into the Space Tree.  This allows you to start a new project with the Mechanical print Room Numbers as the Leaf Space and use the Update Object Labels feature to quickly update all the space names once the end customer has created their official naming strategy.
</t>
    </r>
    <r>
      <rPr>
        <b/>
        <i/>
        <sz val="11"/>
        <color indexed="8"/>
        <rFont val="Calibri"/>
        <family val="2"/>
      </rPr>
      <t>Link to Video Example of Editing Spaces Tree</t>
    </r>
  </si>
  <si>
    <t>- At Release 13, the Export function from SCT RAC to the RAC Spreadsheet will poplulate the Device FQR Reference.</t>
  </si>
  <si>
    <t xml:space="preserve">- This column has been added at Release 13
- For new jobs, the RAC process will add Descriptions to the Device.
</t>
  </si>
  <si>
    <r>
      <t xml:space="preserve">- At Release 13, the Export function from SCT RAC to the RAC Spreadsheet will poplulate the Device Names.  
- You can add an Equipment Name in the new column added at Release 13.
- Under the updated Facility Menu Item in SCT, the Update Object Labels feature allows you to export all the Device Labels into a spreadsheet and update any Device Names before a merge of the Device Names is applied. 
</t>
    </r>
    <r>
      <rPr>
        <b/>
        <i/>
        <sz val="11"/>
        <color indexed="8"/>
        <rFont val="Calibri"/>
        <family val="2"/>
      </rPr>
      <t>Link to Video Example of Editing Device Labels and Device Descriptions</t>
    </r>
  </si>
  <si>
    <t xml:space="preserve">- Enter the parent NAE name exactly as it appears in the All Items Tree in SCT.
- The parent NAE to your controller must already be created in the SCT archive before the Rapid Archive Wizard process is run.  </t>
  </si>
  <si>
    <t>- The Engine Name will be exported to the RAC spreadsheet</t>
  </si>
  <si>
    <r>
      <t xml:space="preserve">- Enter the Trunk Name(s) of the integrations under the Engine Names.  
- The trunk for your controller must already be created in All Items Tree of  the SCT Archive under the desired Engine or the integration relationship will not be created through the Rapid Archive Wizard.
- </t>
    </r>
    <r>
      <rPr>
        <b/>
        <sz val="11"/>
        <color indexed="8"/>
        <rFont val="Calibri"/>
        <family val="2"/>
      </rPr>
      <t>For MSTP Trunks</t>
    </r>
    <r>
      <rPr>
        <sz val="11"/>
        <color theme="1"/>
        <rFont val="Calibri"/>
        <family val="2"/>
        <scheme val="minor"/>
      </rPr>
      <t xml:space="preserve">, remember to set the Trunk Number in the Hardware Tab of the MSTP Integration when the trunk is initially created.  The Rapid Archive Wizard supports both hardware and remote field bus assignments.  MSTP trunks will also have their own JCI MAC Address column per device that needs to be populated. 
- </t>
    </r>
    <r>
      <rPr>
        <b/>
        <sz val="11"/>
        <color indexed="8"/>
        <rFont val="Calibri"/>
        <family val="2"/>
      </rPr>
      <t>For IP Trunks</t>
    </r>
    <r>
      <rPr>
        <sz val="11"/>
        <color theme="1"/>
        <rFont val="Calibri"/>
        <family val="2"/>
        <scheme val="minor"/>
      </rPr>
      <t>, you can only create and name one IP integration per engine.  IP trunks will also have their own IP Controller Number column per device that needs to be populated.</t>
    </r>
  </si>
  <si>
    <t>N2 Address</t>
  </si>
  <si>
    <t>Yes - Only on Export</t>
  </si>
  <si>
    <t>- Not used in New Site Creation</t>
  </si>
  <si>
    <t xml:space="preserve">- The Export process will add the N2 address for the N2 Integrations </t>
  </si>
  <si>
    <t xml:space="preserve">new at Release 13 </t>
  </si>
  <si>
    <t>N2 Integrations are exported</t>
  </si>
  <si>
    <t>- The Controller Number is the combined value of the rotary switches on the IP Field Controllers  
- The uniqueness of the Controller Numbers per IP Integration will be validated by the during the import into Rapid Archive Wizard.</t>
  </si>
  <si>
    <t>- The JCI MAC Address is exported to the RAC spreadsheet</t>
  </si>
  <si>
    <t>- The Controller Number is exported to the RAC spreadsheet</t>
  </si>
  <si>
    <t>- Since this is a reference field only, nothing is exported into the RAC spreadsheet</t>
  </si>
  <si>
    <t>- The Instance Number is exported to the RAC spreadsheet</t>
  </si>
  <si>
    <t>- This value is exported to the RAC spreadsheet</t>
  </si>
  <si>
    <t>- Enter the exact name of the pre-existing equipment that serves downstream equipment (e.g. the equipment name for an AHU serving a VAV Box)
- This column populates the Served By relationship in the Rapid Archive Wizard.
- This serving equipment name(s) must already be created in the Equipment Tree of the  SCT archive or the serving relationship is not created through the Rapid Archive Wizard process.</t>
  </si>
  <si>
    <t>- Enter the exact name of the pre-existing equipment that serves downstream equipment (e.g. the equipment name for an AHU serving a VAV Box)
- This column populates the Served By relationship in the SCT Rapid Archive Wizard.
- This serving equipment name(s) must already be created in the Equipment Tree of the  SCT archive or the serving relationship is not created through the Rapid Archive Wizard process.</t>
  </si>
  <si>
    <t>The Parameters feature is not used during the Modify Site Process.</t>
  </si>
  <si>
    <t>This column would typically not be used when adding Spaces and Equipment to an existing archive.</t>
  </si>
  <si>
    <r>
      <t xml:space="preserve">- The Room Number is provided as a reference for Room leaf spaces based on information typically found on the mechanical prints during the creation of a new site. 
- </t>
    </r>
    <r>
      <rPr>
        <b/>
        <sz val="11"/>
        <color indexed="8"/>
        <rFont val="Calibri"/>
        <family val="2"/>
      </rPr>
      <t>Note:</t>
    </r>
    <r>
      <rPr>
        <sz val="11"/>
        <color theme="1"/>
        <rFont val="Calibri"/>
        <family val="2"/>
        <scheme val="minor"/>
      </rPr>
      <t xml:space="preserve"> The updated "Facility Menu" Item in SCT allows you to export the complete Spaces Tree into a spreadsheet.  The official Space labels can be added in the spreadsheet and merged back into the Spaces Tree.
</t>
    </r>
    <r>
      <rPr>
        <b/>
        <i/>
        <sz val="11"/>
        <color indexed="8"/>
        <rFont val="Calibri"/>
        <family val="2"/>
      </rPr>
      <t xml:space="preserve">Link to Video Example of Editing Spaces Tree
</t>
    </r>
  </si>
  <si>
    <t>- During the process of exporting an Engine into the RAC Spreadsheet, all the Space information can be entered and merged back into the Rapid Archive SCT view.</t>
  </si>
  <si>
    <t>Chiller Plant &amp;&amp;Hot Water Plant</t>
  </si>
  <si>
    <t>AHU-MASP-1&amp;&amp;Chiller Plant&amp;&amp;Hot Water Plant</t>
  </si>
  <si>
    <t>AHU-MASP-1&amp;&amp;Chiller Plant</t>
  </si>
  <si>
    <t>VAV-SD-RH-15</t>
  </si>
  <si>
    <r>
      <t xml:space="preserve">- Enter the Spaces Tree hierarchy that precedes the Leaf Space column to auto create the Spaces Tree.  For Example, </t>
    </r>
    <r>
      <rPr>
        <b/>
        <sz val="11"/>
        <color indexed="8"/>
        <rFont val="Calibri"/>
        <family val="2"/>
      </rPr>
      <t>BE Headquarters/Campus 507/Building 9/Floor 2</t>
    </r>
    <r>
      <rPr>
        <sz val="11"/>
        <color theme="1"/>
        <rFont val="Calibri"/>
        <family val="2"/>
        <scheme val="minor"/>
      </rPr>
      <t xml:space="preserve"> creates a four space parent hierarchy of BE Headquarters, Campus 507, Building 9, Floor 2 before the Leaf Space is appended.
- Note that the / is used as the delimiter between the Spaces
- See the "New Site Examples" worksheet for best practices on setting up Space and Equipment Relationships.
</t>
    </r>
  </si>
  <si>
    <t>Multipurpose 01&amp;&amp;Multipurpose 02</t>
  </si>
  <si>
    <t>Modify Site Process Description and Notes
- SCT RAC View without Edit Mode enabled to Export into RAC Spreadsheet (Video Link)</t>
  </si>
  <si>
    <t>New Site Process Description and Notes
- SCT RAC View in Edit Mode for Import Process from RAC Spreadsheet (Video Link)</t>
  </si>
  <si>
    <t>Summary of Changes at SCT 13</t>
  </si>
  <si>
    <r>
      <t xml:space="preserve">- This is an </t>
    </r>
    <r>
      <rPr>
        <b/>
        <sz val="11"/>
        <color indexed="8"/>
        <rFont val="Calibri"/>
        <family val="2"/>
      </rPr>
      <t>optional / reference field</t>
    </r>
    <r>
      <rPr>
        <sz val="11"/>
        <color theme="1"/>
        <rFont val="Calibri"/>
        <family val="2"/>
        <scheme val="minor"/>
      </rPr>
      <t xml:space="preserve"> for the new Site Process
- The Equipment Definitions must be entered in SCT Equipment Folder and be referenced in a Controller Template prior to executing the Rapid Archive Wizard.  The Equipment Definition creates the Equipment Instances in the SCT Equipment tab when the Rapid Archive Wizard is saved. 
</t>
    </r>
    <r>
      <rPr>
        <b/>
        <sz val="11"/>
        <color indexed="8"/>
        <rFont val="Calibri"/>
        <family val="2"/>
      </rPr>
      <t xml:space="preserve">Other Tips </t>
    </r>
    <r>
      <rPr>
        <sz val="11"/>
        <color theme="1"/>
        <rFont val="Calibri"/>
        <family val="2"/>
        <scheme val="minor"/>
      </rPr>
      <t xml:space="preserve">
- It is recommended that one Equipment Definition be used to create all the Equipment Instances of the same general type.   For example, one Single Duct VAV Box Equipment Definition could be created for Single Duct VAV Boxes that are cooling only, cooling with reheat or fan powered.
- Under the Facility Menu Item, the new Prepare Rapid Archive process allows you to quickly start the workflow to create a Controller Template from a caf file and build an associated Equipment Definition from the Controller Template
- Note that an Equipment Definition can be quickly created from a Controller Template at Release 13 (right cliek menu item on the controller template)</t>
    </r>
  </si>
  <si>
    <r>
      <t xml:space="preserve">- This is a </t>
    </r>
    <r>
      <rPr>
        <b/>
        <sz val="11"/>
        <color indexed="8"/>
        <rFont val="Calibri"/>
        <family val="2"/>
      </rPr>
      <t>required</t>
    </r>
    <r>
      <rPr>
        <sz val="11"/>
        <color theme="1"/>
        <rFont val="Calibri"/>
        <family val="2"/>
        <scheme val="minor"/>
      </rPr>
      <t xml:space="preserve"> field in the RAC Spreadsheet once the export has been made
- The Equipment Definitions must be entered in the SCT Equipment Folder before the merge process is initated.</t>
    </r>
  </si>
  <si>
    <t>- This field is not used at all in the RAC Spreadsheet during a Modify Site Process</t>
  </si>
  <si>
    <t>- The basic Site/Building/Floor information could be roughed in as a starting point for the Modify Process.  During the Merge Process from the RAC Spreadsheet, the Site / Building / Floor information can be entered into the spreadsheet but it will not be re-created during the merge.</t>
  </si>
  <si>
    <r>
      <t xml:space="preserve">- At Release 13, this entry now creates only the </t>
    </r>
    <r>
      <rPr>
        <b/>
        <sz val="11"/>
        <color indexed="8"/>
        <rFont val="Calibri"/>
        <family val="2"/>
      </rPr>
      <t>Device Name</t>
    </r>
    <r>
      <rPr>
        <sz val="11"/>
        <color theme="1"/>
        <rFont val="Calibri"/>
        <family val="2"/>
        <scheme val="minor"/>
      </rPr>
      <t xml:space="preserve"> in the All Items / Network Trees. 
- A seperate </t>
    </r>
    <r>
      <rPr>
        <b/>
        <sz val="11"/>
        <color indexed="8"/>
        <rFont val="Calibri"/>
        <family val="2"/>
      </rPr>
      <t xml:space="preserve">Equipment Name </t>
    </r>
    <r>
      <rPr>
        <sz val="11"/>
        <color theme="1"/>
        <rFont val="Calibri"/>
        <family val="2"/>
        <scheme val="minor"/>
      </rPr>
      <t xml:space="preserve"> column entry has been added to the RAC spreadsheet so that unique labels can be created for the Devices in the All Items Tree and the Equipment  in SCT's Equipment tab and the MUI Equipment Name.
- Under the updated Facility Menu Item in SCT, the Update Object Labels feature allows you to export all the Device Labels into a spreadsheet and update any Device Names before a merge of the Device Names is applied. 
</t>
    </r>
    <r>
      <rPr>
        <b/>
        <i/>
        <sz val="11"/>
        <color indexed="8"/>
        <rFont val="Calibri"/>
        <family val="2"/>
      </rPr>
      <t>Link to Video Example of Editing Device Labels and Device Desriptions</t>
    </r>
  </si>
  <si>
    <t>- This column has been added at Release 13
- The Descriptions from the devices will be exported into the RAC sheet for use as a reference</t>
  </si>
  <si>
    <t xml:space="preserve">New at Release 13 </t>
  </si>
  <si>
    <t xml:space="preserve">New - Multiple Served by Equipment Names can be entered with a $$ delimiter  </t>
  </si>
  <si>
    <r>
      <t xml:space="preserve">- The Trunk Name or Names will be exported to the RAC spreadsheet
- Note that </t>
    </r>
    <r>
      <rPr>
        <b/>
        <sz val="11"/>
        <color indexed="8"/>
        <rFont val="Calibri"/>
        <family val="2"/>
      </rPr>
      <t>N2 Integrations</t>
    </r>
    <r>
      <rPr>
        <sz val="11"/>
        <color theme="1"/>
        <rFont val="Calibri"/>
        <family val="2"/>
        <scheme val="minor"/>
      </rPr>
      <t xml:space="preserve"> are shown in the exported data
- When working in the RAC Spreadsheet with the exported data, this column is a good column to filter on when adding data to the other fields.</t>
    </r>
  </si>
  <si>
    <r>
      <t xml:space="preserve">New Workflows to quickly create an Equipment Defintion from a Controller Template 
</t>
    </r>
    <r>
      <rPr>
        <b/>
        <sz val="11"/>
        <color indexed="8"/>
        <rFont val="Calibri"/>
        <family val="2"/>
      </rPr>
      <t>Link to future Videos that show the updates to updated workflows</t>
    </r>
  </si>
  <si>
    <r>
      <t xml:space="preserve">- This is a </t>
    </r>
    <r>
      <rPr>
        <b/>
        <sz val="11"/>
        <color indexed="8"/>
        <rFont val="Calibri"/>
        <family val="2"/>
      </rPr>
      <t>required</t>
    </r>
    <r>
      <rPr>
        <sz val="11"/>
        <color theme="1"/>
        <rFont val="Calibri"/>
        <family val="2"/>
        <scheme val="minor"/>
      </rPr>
      <t xml:space="preserve"> field in the RAC Spreadsheet - The Controller Template also needs to include the reference to the associated Equipment Definition.
- Enter the Controller Template name as displayed in the SCT UI.
- This column populates the Controller Template column in the SCT Rapid Archive View.  
- Only Controller Templates with a Equipment Definitions reference will create Equipment Instances.
- The Controller Templates for a site's archive need to be defined and added to the archive before the RAC Schedule is imported.
- Remember to setup the Point Name Display attributes in the Controller Template to match the desired Point Naming strategy for your site.
- The Metasys Field Controllers, the Controller Template should also include the extention to the caf Resource file used to build the points in the Template.  Once the RAC Process is run, all the field devices created from the controller template will include a caf resource file that has the Updated Parameters in the columns following the Controller Template Name.</t>
    </r>
  </si>
  <si>
    <r>
      <t xml:space="preserve">Rows 1 and 2
</t>
    </r>
    <r>
      <rPr>
        <b/>
        <sz val="14"/>
        <color indexed="8"/>
        <rFont val="Calibri"/>
        <family val="2"/>
      </rPr>
      <t>New at Release 13</t>
    </r>
  </si>
  <si>
    <r>
      <t xml:space="preserve">- Row 1 contains "column codes"  that are used by the SCT Import / Merge process to identify the source of data from the RAC Worksheet.
- These new "column codes" allow you to insert user defined columns anywhere in the RAC worksheets without effecting the import / merge interactions between a worksheet and the SCT RAC view.
- Note that and Export from SCT  into a RAC Spreadsheet must be executed into a worksheet that has not been altered (still some discussion on how this workflow should happen
- Column 2 contains the version # of the RAC Workbook.
</t>
    </r>
    <r>
      <rPr>
        <b/>
        <i/>
        <sz val="12"/>
        <color indexed="8"/>
        <rFont val="Calibri"/>
        <family val="2"/>
      </rPr>
      <t>Potential Video Link showing ideas for adding columns and working with the RAC Spreadsheet</t>
    </r>
  </si>
  <si>
    <t>Equipment Definition Name (Required)</t>
  </si>
  <si>
    <t>Controller Template Name (Not Used)</t>
  </si>
  <si>
    <t>Device Description
(Provided)</t>
  </si>
  <si>
    <t>Device FQR Reference 
(Provided)</t>
  </si>
  <si>
    <t>Device Name
(Provided)</t>
  </si>
  <si>
    <t>Engine Name
(Provided)</t>
  </si>
  <si>
    <t>Trunk Name
(Provided)</t>
  </si>
  <si>
    <t>Network Information (MSTP and IP)  All Data is Provided from the Export Depending on the Integration Types</t>
  </si>
  <si>
    <t>JCI MAC  Address
(Provided)</t>
  </si>
  <si>
    <t>IP Controller Number
(Provided)</t>
  </si>
  <si>
    <t>Instance # (BACoid)
(Provided)</t>
  </si>
  <si>
    <t>N2Address
(Provided)</t>
  </si>
  <si>
    <t>DHCP Enabled 
(Provided)</t>
  </si>
  <si>
    <t>Equipment Definition Name
(Provided)</t>
  </si>
  <si>
    <t>Controller Template Name
(Not Used)</t>
  </si>
  <si>
    <t xml:space="preserve">IP Address
(Provided) </t>
  </si>
  <si>
    <t>Subnet Mask
(Provided)</t>
  </si>
  <si>
    <t>IP Router
(Provided)</t>
  </si>
  <si>
    <t>Controller Template Name
(Required)</t>
  </si>
  <si>
    <t>Equipment Definition Name
(Optional)</t>
  </si>
  <si>
    <t>v3</t>
  </si>
  <si>
    <t>Mechanical Drawing</t>
  </si>
  <si>
    <t>JCI Ctrl Dwg No.</t>
  </si>
  <si>
    <t>HTGOCC-MAXFLOW</t>
  </si>
  <si>
    <t>Box Heat</t>
  </si>
  <si>
    <t>Supplemental Heat</t>
  </si>
  <si>
    <t>Inlet Size (inches)</t>
  </si>
  <si>
    <t>Sensor</t>
  </si>
  <si>
    <t>Code No</t>
  </si>
  <si>
    <t>Comments</t>
  </si>
  <si>
    <t>MPL/MillRd/Floor 1</t>
  </si>
  <si>
    <t>150A</t>
  </si>
  <si>
    <t>Public Vestibule</t>
  </si>
  <si>
    <t>VAV-1</t>
  </si>
  <si>
    <t>AHU-1, HWS</t>
  </si>
  <si>
    <t>03.02.01</t>
  </si>
  <si>
    <t>M4-CVM03050-0</t>
  </si>
  <si>
    <t>S3-SNE03</t>
  </si>
  <si>
    <t>FC-1</t>
  </si>
  <si>
    <t>VAV</t>
  </si>
  <si>
    <t>VAV-RH</t>
  </si>
  <si>
    <t>NSB8BTN245-0</t>
  </si>
  <si>
    <t>Plant Systems</t>
  </si>
  <si>
    <t>Air Systems</t>
  </si>
  <si>
    <t>Terminal Systems</t>
  </si>
  <si>
    <t>Integrations</t>
  </si>
  <si>
    <t>MPL</t>
  </si>
  <si>
    <t>MillRd</t>
  </si>
  <si>
    <t>MPL/MillRd</t>
  </si>
  <si>
    <t>HWS</t>
  </si>
  <si>
    <t>AHU-1</t>
  </si>
  <si>
    <t>M3.1</t>
  </si>
  <si>
    <t>M2.1</t>
  </si>
  <si>
    <t>HWS,CHWS</t>
  </si>
  <si>
    <t>01.01.01</t>
  </si>
  <si>
    <t>02.01.01</t>
  </si>
  <si>
    <t>M4-CGM04060-0</t>
  </si>
  <si>
    <t>M4-CGM09090-0</t>
  </si>
  <si>
    <t>VAV-CLG</t>
  </si>
  <si>
    <t>VAV-RAD</t>
  </si>
  <si>
    <t/>
  </si>
  <si>
    <t>Manufacturer</t>
  </si>
  <si>
    <t>EH Price</t>
  </si>
  <si>
    <t>Enviromental Tech 45</t>
  </si>
  <si>
    <t>Enviromental Tech 90</t>
  </si>
  <si>
    <t>VariTrane F-Style</t>
  </si>
  <si>
    <t>Other</t>
  </si>
  <si>
    <t>Enviromental Tech 45 (Largo)</t>
  </si>
  <si>
    <t>Enviromental Tech 90 (Largo)</t>
  </si>
  <si>
    <r>
      <rPr>
        <b/>
        <i/>
        <sz val="16"/>
        <color indexed="8"/>
        <rFont val="Arial"/>
        <family val="2"/>
      </rPr>
      <t>Generic</t>
    </r>
    <r>
      <rPr>
        <i/>
        <sz val="16"/>
        <color indexed="8"/>
        <rFont val="Arial"/>
        <family val="2"/>
      </rPr>
      <t xml:space="preserve">
</t>
    </r>
    <r>
      <rPr>
        <sz val="10"/>
        <color indexed="8"/>
        <rFont val="Arial"/>
        <family val="2"/>
      </rPr>
      <t>If you have an unknown manufacture, or the manufacturre is not listed in this sheet, use the K Factors below.</t>
    </r>
  </si>
  <si>
    <t>Generic (Unknown)</t>
  </si>
  <si>
    <t>.</t>
  </si>
  <si>
    <t>1. Copy the Manufacturer sheet from this workbook to the project RAC Schedule
2. Copy the columns from New Empty Scratchpad which get added to the RAC Schedule and paste them in the proper locations
3. Copy the formulas from this page to the New Empty Scratchpad in the project RAC Schedule.
4. Paste the functions (only the functions) in the first row used for the schedule data.
5. Choose the Manufacturer for the boxes and complete the table as noted below.</t>
  </si>
  <si>
    <r>
      <rPr>
        <b/>
        <sz val="12"/>
        <color indexed="8"/>
        <rFont val="Arial"/>
        <family val="2"/>
      </rPr>
      <t>Template Instructions</t>
    </r>
    <r>
      <rPr>
        <b/>
        <sz val="14"/>
        <color indexed="8"/>
        <rFont val="Arial"/>
        <family val="2"/>
      </rPr>
      <t xml:space="preserve">
</t>
    </r>
    <r>
      <rPr>
        <sz val="9"/>
        <color indexed="8"/>
        <rFont val="Arial"/>
        <family val="2"/>
      </rPr>
      <t>- This Template is based v3 of the RAC Schedule Master. When a Master is issued, a new Template should be generated using the new Master. Insert the required columns, update the equations as needed
- This Template is setup for Hardware engineering to be a starting place for Software engineering. Some of the fields are specific to Software and have no impact on Hardware but can be used to setup Software for success
- The equations for Device Name, Device FQR Reference, and Device Description are based off a specific customer's standard. Adapt the equations as needed to meet the project customer's standards
- For information on the functions used, refer to Microsoft Help or O365 training
- Comments on each cell help explain the specific use and updating requirements of the information in the cells</t>
    </r>
  </si>
  <si>
    <t>NSB8BTN240-0</t>
  </si>
  <si>
    <t>CHWS</t>
  </si>
  <si>
    <t>NSB8BTN240-1</t>
  </si>
  <si>
    <t>AHU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</si>
</sst>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0"/>
      <name val="Arial"/>
      <family val="2"/>
    </font>
    <font>
      <sz val="10"/>
      <name val="MS Sans Serif"/>
      <family val="2"/>
    </font>
    <font>
      <sz val="11"/>
      <name val="Arial"/>
      <family val="2"/>
    </font>
    <font>
      <b/>
      <sz val="11"/>
      <name val="Arial"/>
      <family val="2"/>
    </font>
    <font>
      <b/>
      <sz val="11"/>
      <color indexed="8"/>
      <name val="Calibri"/>
      <family val="2"/>
    </font>
    <font>
      <sz val="11"/>
      <color indexed="8"/>
      <name val="Arial"/>
      <family val="2"/>
    </font>
    <font>
      <b/>
      <sz val="11"/>
      <color indexed="8"/>
      <name val="Arial"/>
      <family val="2"/>
    </font>
    <font>
      <b/>
      <sz val="14"/>
      <color indexed="8"/>
      <name val="Arial"/>
      <family val="2"/>
    </font>
    <font>
      <sz val="14"/>
      <color indexed="8"/>
      <name val="Arial"/>
      <family val="2"/>
    </font>
    <font>
      <b/>
      <sz val="11"/>
      <color indexed="8"/>
      <name val="Calibri"/>
      <family val="2"/>
    </font>
    <font>
      <sz val="11"/>
      <color indexed="8"/>
      <name val="Arial"/>
      <family val="2"/>
    </font>
    <font>
      <b/>
      <sz val="11"/>
      <color indexed="8"/>
      <name val="Arial"/>
      <family val="2"/>
    </font>
    <font>
      <b/>
      <sz val="11"/>
      <color indexed="8"/>
      <name val="Calibri"/>
      <family val="2"/>
    </font>
    <font>
      <b/>
      <i/>
      <sz val="11"/>
      <color indexed="8"/>
      <name val="Calibri"/>
      <family val="2"/>
    </font>
    <font>
      <b/>
      <i/>
      <sz val="11"/>
      <color indexed="8"/>
      <name val="Calibri"/>
      <family val="2"/>
    </font>
    <font>
      <b/>
      <sz val="11"/>
      <color indexed="8"/>
      <name val="Calibri"/>
      <family val="2"/>
    </font>
    <font>
      <b/>
      <sz val="11"/>
      <color indexed="8"/>
      <name val="Calibri"/>
      <family val="2"/>
    </font>
    <font>
      <b/>
      <sz val="14"/>
      <color indexed="8"/>
      <name val="Calibri"/>
      <family val="2"/>
    </font>
    <font>
      <b/>
      <i/>
      <sz val="12"/>
      <color indexed="8"/>
      <name val="Calibri"/>
      <family val="2"/>
    </font>
    <font>
      <b/>
      <sz val="10"/>
      <name val="Arial"/>
      <family val="2"/>
    </font>
    <font>
      <sz val="8"/>
      <name val="Calibri"/>
      <family val="2"/>
    </font>
    <font>
      <sz val="9"/>
      <color indexed="81"/>
      <name val="Tahoma"/>
      <family val="2"/>
    </font>
    <font>
      <b/>
      <sz val="9"/>
      <color indexed="81"/>
      <name val="Tahoma"/>
      <family val="2"/>
    </font>
    <font>
      <sz val="9"/>
      <color indexed="81"/>
      <name val="Tahoma"/>
      <family val="2"/>
    </font>
    <font>
      <b/>
      <sz val="9"/>
      <color indexed="81"/>
      <name val="Tahoma"/>
      <family val="2"/>
    </font>
    <font>
      <sz val="10"/>
      <color indexed="8"/>
      <name val="Arial"/>
      <family val="2"/>
    </font>
    <font>
      <b/>
      <sz val="12"/>
      <color indexed="8"/>
      <name val="Arial"/>
      <family val="2"/>
    </font>
    <font>
      <i/>
      <sz val="16"/>
      <color indexed="8"/>
      <name val="Arial"/>
      <family val="2"/>
    </font>
    <font>
      <b/>
      <sz val="14"/>
      <color indexed="8"/>
      <name val="Arial"/>
      <family val="2"/>
    </font>
    <font>
      <b/>
      <i/>
      <sz val="16"/>
      <color indexed="8"/>
      <name val="Arial"/>
      <family val="2"/>
    </font>
    <font>
      <sz val="9"/>
      <color indexed="8"/>
      <name val="Arial"/>
      <family val="2"/>
    </font>
    <font>
      <sz val="11"/>
      <color theme="0"/>
      <name val="Calibri"/>
      <family val="2"/>
      <scheme val="minor"/>
    </font>
    <font>
      <sz val="11"/>
      <color rgb="FF3F3F76"/>
      <name val="Calibri"/>
      <family val="2"/>
      <scheme val="minor"/>
    </font>
    <font>
      <sz val="12"/>
      <color rgb="FF000000"/>
      <name val="Arial"/>
      <family val="2"/>
    </font>
    <font>
      <sz val="10"/>
      <color theme="1"/>
      <name val="Arial"/>
      <family val="2"/>
    </font>
    <font>
      <sz val="12"/>
      <color theme="1"/>
      <name val="Arial"/>
      <family val="2"/>
    </font>
    <font>
      <sz val="10"/>
      <color rgb="FF000000"/>
      <name val="Arial"/>
      <family val="2"/>
    </font>
    <font>
      <sz val="11"/>
      <color rgb="FF000000"/>
      <name val="Arial"/>
      <family val="2"/>
    </font>
    <font>
      <sz val="14"/>
      <color theme="0"/>
      <name val="Arial"/>
      <family val="2"/>
    </font>
    <font>
      <sz val="11"/>
      <color theme="0"/>
      <name val="Arial"/>
      <family val="2"/>
    </font>
    <font>
      <sz val="11"/>
      <color theme="1"/>
      <name val="Arial"/>
      <family val="2"/>
    </font>
    <font>
      <i/>
      <sz val="10"/>
      <color theme="1"/>
      <name val="Arial"/>
      <family val="2"/>
    </font>
    <font>
      <b/>
      <sz val="12"/>
      <color theme="1"/>
      <name val="Arial"/>
      <family val="2"/>
    </font>
    <font>
      <i/>
      <sz val="16"/>
      <color theme="1"/>
      <name val="Arial"/>
      <family val="2"/>
    </font>
    <font>
      <sz val="14"/>
      <color theme="1"/>
      <name val="Arial"/>
      <family val="2"/>
    </font>
    <font>
      <i/>
      <sz val="14"/>
      <color theme="1"/>
      <name val="Arial"/>
      <family val="2"/>
    </font>
    <font>
      <sz val="10"/>
      <color theme="1"/>
      <name val="Calibri"/>
      <family val="2"/>
      <scheme val="minor"/>
    </font>
    <font>
      <b/>
      <sz val="16"/>
      <color theme="1"/>
      <name val="Calibri"/>
      <family val="2"/>
      <scheme val="minor"/>
    </font>
    <font>
      <b/>
      <sz val="12"/>
      <color theme="1"/>
      <name val="Calibri"/>
      <family val="2"/>
      <scheme val="minor"/>
    </font>
    <font>
      <sz val="9"/>
      <color theme="1"/>
      <name val="Calibri"/>
      <family val="2"/>
      <scheme val="minor"/>
    </font>
    <font>
      <sz val="11"/>
      <color theme="0" tint="-0.34998626667073579"/>
      <name val="Calibri"/>
      <family val="2"/>
      <scheme val="minor"/>
    </font>
    <font>
      <sz val="11"/>
      <color theme="0" tint="-0.34998626667073579"/>
      <name val="Arial"/>
      <family val="2"/>
    </font>
    <font>
      <sz val="12"/>
      <color theme="1"/>
      <name val="Calibri"/>
      <family val="2"/>
      <scheme val="minor"/>
    </font>
    <font>
      <b/>
      <sz val="14"/>
      <color theme="1"/>
      <name val="Arial"/>
      <family val="2"/>
    </font>
    <font>
      <sz val="9"/>
      <color theme="1"/>
      <name val="Arial"/>
      <family val="2"/>
    </font>
    <font>
      <b/>
      <i/>
      <sz val="16"/>
      <color theme="1"/>
      <name val="Arial"/>
      <family val="2"/>
    </font>
    <font>
      <sz val="16"/>
      <color rgb="FF3F3F76"/>
      <name val="Calibri"/>
      <family val="2"/>
      <scheme val="minor"/>
    </font>
  </fonts>
  <fills count="22">
    <fill>
      <patternFill patternType="none"/>
    </fill>
    <fill>
      <patternFill patternType="gray125"/>
    </fill>
    <fill>
      <patternFill patternType="solid">
        <fgColor indexed="22"/>
        <bgColor indexed="64"/>
      </patternFill>
    </fill>
    <fill>
      <patternFill patternType="solid">
        <fgColor rgb="FFFFCC99"/>
      </patternFill>
    </fill>
    <fill>
      <patternFill patternType="solid">
        <fgColor rgb="FFFFFF00"/>
        <bgColor indexed="64"/>
      </patternFill>
    </fill>
    <fill>
      <patternFill patternType="solid">
        <fgColor rgb="FFC7C9C8"/>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00B0F0"/>
        <bgColor indexed="64"/>
      </patternFill>
    </fill>
    <fill>
      <patternFill patternType="solid">
        <fgColor rgb="FF800080"/>
        <bgColor indexed="64"/>
      </patternFill>
    </fill>
    <fill>
      <patternFill patternType="solid">
        <fgColor rgb="FF00549E"/>
        <bgColor indexed="64"/>
      </patternFill>
    </fill>
    <fill>
      <patternFill patternType="solid">
        <fgColor rgb="FFD2B48C"/>
        <bgColor indexed="64"/>
      </patternFill>
    </fill>
    <fill>
      <patternFill patternType="solid">
        <fgColor rgb="FFCB2439"/>
        <bgColor indexed="64"/>
      </patternFill>
    </fill>
    <fill>
      <patternFill patternType="solid">
        <fgColor rgb="FF8DC63F"/>
        <bgColor indexed="64"/>
      </patternFill>
    </fill>
    <fill>
      <patternFill patternType="solid">
        <fgColor rgb="FF0081B6"/>
        <bgColor indexed="64"/>
      </patternFill>
    </fill>
    <fill>
      <patternFill patternType="solid">
        <fgColor rgb="FF878A8F"/>
        <bgColor indexed="64"/>
      </patternFill>
    </fill>
    <fill>
      <patternFill patternType="solid">
        <fgColor rgb="FFF477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C7C9C8"/>
      </left>
      <right style="thin">
        <color rgb="FFC7C9C8"/>
      </right>
      <top style="thin">
        <color rgb="FFC7C9C8"/>
      </top>
      <bottom/>
      <diagonal/>
    </border>
    <border>
      <left style="thin">
        <color rgb="FFC7C9C8"/>
      </left>
      <right style="thin">
        <color rgb="FFC7C9C8"/>
      </right>
      <top/>
      <bottom/>
      <diagonal/>
    </border>
    <border>
      <left style="thin">
        <color rgb="FFC7C9C8"/>
      </left>
      <right style="thin">
        <color rgb="FFC7C9C8"/>
      </right>
      <top/>
      <bottom style="thin">
        <color rgb="FFC7C9C8"/>
      </bottom>
      <diagonal/>
    </border>
    <border>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indexed="64"/>
      </right>
      <top style="thin">
        <color theme="0" tint="-0.499984740745262"/>
      </top>
      <bottom/>
      <diagonal/>
    </border>
    <border>
      <left/>
      <right style="thin">
        <color theme="0" tint="-0.499984740745262"/>
      </right>
      <top/>
      <bottom/>
      <diagonal/>
    </border>
    <border>
      <left/>
      <right/>
      <top/>
      <bottom style="thin">
        <color theme="0" tint="-0.499984740745262"/>
      </bottom>
      <diagonal/>
    </border>
    <border>
      <left style="thin">
        <color rgb="FFC7C9C8"/>
      </left>
      <right style="thin">
        <color rgb="FFC7C9C8"/>
      </right>
      <top style="thin">
        <color rgb="FFC7C9C8"/>
      </top>
      <bottom style="thin">
        <color rgb="FFC7C9C8"/>
      </bottom>
      <diagonal/>
    </border>
    <border>
      <left style="thin">
        <color theme="0" tint="-0.499984740745262"/>
      </left>
      <right/>
      <top style="thin">
        <color rgb="FFC7C9C8"/>
      </top>
      <bottom/>
      <diagonal/>
    </border>
    <border>
      <left/>
      <right/>
      <top style="thin">
        <color rgb="FFC7C9C8"/>
      </top>
      <bottom/>
      <diagonal/>
    </border>
    <border>
      <left/>
      <right style="thin">
        <color theme="0" tint="-0.499984740745262"/>
      </right>
      <top style="thin">
        <color rgb="FFC7C9C8"/>
      </top>
      <bottom/>
      <diagonal/>
    </border>
  </borders>
  <cellStyleXfs count="3">
    <xf numFmtId="0" fontId="0" fillId="0" borderId="0"/>
    <xf numFmtId="0" fontId="33" fillId="3" borderId="24" applyNumberFormat="0" applyAlignment="0" applyProtection="0"/>
    <xf numFmtId="0" fontId="2" fillId="0" borderId="0"/>
  </cellStyleXfs>
  <cellXfs count="231">
    <xf numFmtId="0" fontId="0" fillId="0" borderId="0" xfId="0"/>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49" fontId="34" fillId="0" borderId="0" xfId="0" applyNumberFormat="1" applyFont="1" applyFill="1" applyBorder="1" applyAlignment="1">
      <alignment horizontal="center" wrapText="1"/>
    </xf>
    <xf numFmtId="0" fontId="35" fillId="0" borderId="0" xfId="0" applyFont="1"/>
    <xf numFmtId="0" fontId="36" fillId="0" borderId="0" xfId="0" applyFont="1" applyFill="1" applyBorder="1" applyAlignment="1">
      <alignment horizontal="center"/>
    </xf>
    <xf numFmtId="49" fontId="37" fillId="0" borderId="0" xfId="0" applyNumberFormat="1" applyFont="1" applyFill="1" applyBorder="1" applyAlignment="1">
      <alignment horizontal="center" wrapText="1"/>
    </xf>
    <xf numFmtId="49" fontId="38" fillId="4" borderId="25" xfId="0" applyNumberFormat="1" applyFont="1" applyFill="1" applyBorder="1" applyAlignment="1">
      <alignment horizontal="left" wrapText="1"/>
    </xf>
    <xf numFmtId="49" fontId="38" fillId="4" borderId="26" xfId="0" applyNumberFormat="1" applyFont="1" applyFill="1" applyBorder="1" applyAlignment="1">
      <alignment horizontal="left" wrapText="1"/>
    </xf>
    <xf numFmtId="0" fontId="35" fillId="0" borderId="0" xfId="0" applyFont="1" applyFill="1" applyBorder="1" applyAlignment="1">
      <alignment horizontal="center"/>
    </xf>
    <xf numFmtId="0" fontId="35" fillId="0" borderId="0" xfId="0" applyFont="1" applyFill="1" applyBorder="1"/>
    <xf numFmtId="0" fontId="36" fillId="0" borderId="0" xfId="0" applyFont="1" applyAlignment="1">
      <alignment horizontal="center"/>
    </xf>
    <xf numFmtId="49" fontId="38" fillId="4" borderId="27" xfId="0" applyNumberFormat="1" applyFont="1" applyFill="1" applyBorder="1" applyAlignment="1">
      <alignment horizontal="left" wrapText="1"/>
    </xf>
    <xf numFmtId="0" fontId="36" fillId="0" borderId="0" xfId="0" applyFont="1"/>
    <xf numFmtId="0" fontId="39" fillId="0" borderId="0" xfId="0" applyFont="1" applyFill="1" applyAlignment="1">
      <alignment vertical="center"/>
    </xf>
    <xf numFmtId="0" fontId="35" fillId="0" borderId="0" xfId="0" applyFont="1" applyAlignment="1">
      <alignment horizontal="center"/>
    </xf>
    <xf numFmtId="0" fontId="40" fillId="0" borderId="0" xfId="0" applyFont="1" applyFill="1" applyAlignment="1">
      <alignment horizontal="center"/>
    </xf>
    <xf numFmtId="0" fontId="35" fillId="0" borderId="0" xfId="0" applyFont="1" applyFill="1"/>
    <xf numFmtId="0" fontId="36" fillId="0" borderId="0" xfId="0" applyFont="1" applyFill="1" applyBorder="1"/>
    <xf numFmtId="0" fontId="41" fillId="0" borderId="0" xfId="0" applyFont="1"/>
    <xf numFmtId="49" fontId="38" fillId="4" borderId="26" xfId="0" applyNumberFormat="1" applyFont="1" applyFill="1" applyBorder="1" applyAlignment="1">
      <alignment wrapText="1"/>
    </xf>
    <xf numFmtId="49" fontId="38" fillId="4" borderId="27" xfId="0" applyNumberFormat="1" applyFont="1" applyFill="1" applyBorder="1" applyAlignment="1">
      <alignment wrapText="1"/>
    </xf>
    <xf numFmtId="0" fontId="40" fillId="0" borderId="0" xfId="0" applyFont="1" applyFill="1"/>
    <xf numFmtId="49" fontId="40" fillId="5" borderId="25" xfId="0" applyNumberFormat="1" applyFont="1" applyFill="1" applyBorder="1" applyAlignment="1">
      <alignment horizontal="center" vertical="center" wrapText="1"/>
    </xf>
    <xf numFmtId="49" fontId="40" fillId="5" borderId="25" xfId="0" applyNumberFormat="1" applyFont="1" applyFill="1" applyBorder="1" applyAlignment="1">
      <alignment horizontal="left" vertical="center" wrapText="1"/>
    </xf>
    <xf numFmtId="49" fontId="38" fillId="4" borderId="2" xfId="0" applyNumberFormat="1" applyFont="1" applyFill="1" applyBorder="1" applyAlignment="1">
      <alignment horizontal="left" wrapText="1"/>
    </xf>
    <xf numFmtId="0" fontId="41" fillId="4" borderId="3" xfId="0" applyFont="1" applyFill="1" applyBorder="1" applyAlignment="1">
      <alignment horizontal="left"/>
    </xf>
    <xf numFmtId="49" fontId="38" fillId="4" borderId="4" xfId="0" applyNumberFormat="1" applyFont="1" applyFill="1" applyBorder="1" applyAlignment="1">
      <alignment horizontal="left" wrapText="1"/>
    </xf>
    <xf numFmtId="0" fontId="41" fillId="4" borderId="26" xfId="0" applyFont="1" applyFill="1" applyBorder="1" applyAlignment="1">
      <alignment horizontal="left"/>
    </xf>
    <xf numFmtId="49" fontId="38" fillId="4" borderId="25" xfId="0" applyNumberFormat="1" applyFont="1" applyFill="1" applyBorder="1" applyAlignment="1">
      <alignment wrapText="1"/>
    </xf>
    <xf numFmtId="0" fontId="41" fillId="4" borderId="26" xfId="0" applyFont="1" applyFill="1" applyBorder="1" applyAlignment="1"/>
    <xf numFmtId="49" fontId="38" fillId="4" borderId="28" xfId="0" applyNumberFormat="1" applyFont="1" applyFill="1" applyBorder="1" applyAlignment="1">
      <alignment horizontal="left" wrapText="1"/>
    </xf>
    <xf numFmtId="0" fontId="41" fillId="4" borderId="29" xfId="0" applyFont="1" applyFill="1" applyBorder="1" applyAlignment="1">
      <alignment horizontal="left"/>
    </xf>
    <xf numFmtId="49" fontId="38" fillId="4" borderId="30" xfId="0" applyNumberFormat="1" applyFont="1" applyFill="1" applyBorder="1" applyAlignment="1">
      <alignment horizontal="left" wrapText="1"/>
    </xf>
    <xf numFmtId="49" fontId="3" fillId="4" borderId="25" xfId="0" applyNumberFormat="1" applyFont="1" applyFill="1" applyBorder="1" applyAlignment="1">
      <alignment horizontal="left" wrapText="1"/>
    </xf>
    <xf numFmtId="0" fontId="3" fillId="4" borderId="26" xfId="0" applyFont="1" applyFill="1" applyBorder="1" applyAlignment="1">
      <alignment horizontal="left"/>
    </xf>
    <xf numFmtId="49" fontId="3" fillId="4" borderId="27" xfId="0" applyNumberFormat="1" applyFont="1" applyFill="1" applyBorder="1" applyAlignment="1">
      <alignment horizontal="left" wrapText="1"/>
    </xf>
    <xf numFmtId="0" fontId="0" fillId="6" borderId="1" xfId="0" applyFill="1" applyBorder="1" applyAlignment="1">
      <alignment vertical="top" wrapText="1"/>
    </xf>
    <xf numFmtId="0" fontId="1" fillId="6" borderId="1" xfId="0" applyFont="1" applyFill="1" applyBorder="1" applyAlignment="1">
      <alignment horizontal="center"/>
    </xf>
    <xf numFmtId="0" fontId="1" fillId="0" borderId="1" xfId="0" applyFont="1" applyBorder="1"/>
    <xf numFmtId="0" fontId="1" fillId="6" borderId="1" xfId="0" applyFont="1" applyFill="1" applyBorder="1"/>
    <xf numFmtId="0" fontId="1" fillId="4" borderId="1" xfId="0" applyFont="1" applyFill="1" applyBorder="1"/>
    <xf numFmtId="0" fontId="1" fillId="6" borderId="1" xfId="2" applyFont="1" applyFill="1" applyBorder="1" applyAlignment="1">
      <alignment horizontal="left"/>
    </xf>
    <xf numFmtId="0" fontId="42" fillId="7" borderId="31" xfId="0" applyFont="1" applyFill="1" applyBorder="1" applyAlignment="1">
      <alignment horizontal="center"/>
    </xf>
    <xf numFmtId="2" fontId="42" fillId="7" borderId="32" xfId="0" applyNumberFormat="1" applyFont="1" applyFill="1" applyBorder="1" applyAlignment="1">
      <alignment horizontal="center"/>
    </xf>
    <xf numFmtId="2" fontId="42" fillId="7" borderId="33" xfId="0" applyNumberFormat="1" applyFont="1" applyFill="1" applyBorder="1" applyAlignment="1">
      <alignment horizontal="center"/>
    </xf>
    <xf numFmtId="0" fontId="42" fillId="0" borderId="34" xfId="0" applyFont="1" applyFill="1" applyBorder="1" applyAlignment="1">
      <alignment horizontal="center"/>
    </xf>
    <xf numFmtId="2" fontId="42" fillId="0" borderId="35" xfId="0" applyNumberFormat="1" applyFont="1" applyFill="1" applyBorder="1" applyAlignment="1">
      <alignment horizontal="center"/>
    </xf>
    <xf numFmtId="2" fontId="42" fillId="0" borderId="36" xfId="0" applyNumberFormat="1" applyFont="1" applyFill="1" applyBorder="1" applyAlignment="1">
      <alignment horizontal="center"/>
    </xf>
    <xf numFmtId="0" fontId="42" fillId="0" borderId="31" xfId="0" applyFont="1" applyFill="1" applyBorder="1" applyAlignment="1">
      <alignment horizontal="center"/>
    </xf>
    <xf numFmtId="2" fontId="42" fillId="0" borderId="32" xfId="0" applyNumberFormat="1" applyFont="1" applyFill="1" applyBorder="1" applyAlignment="1">
      <alignment horizontal="center"/>
    </xf>
    <xf numFmtId="2" fontId="42" fillId="0" borderId="33" xfId="0" applyNumberFormat="1" applyFont="1" applyFill="1" applyBorder="1" applyAlignment="1">
      <alignment horizontal="center"/>
    </xf>
    <xf numFmtId="0" fontId="35" fillId="0" borderId="34" xfId="0" applyFont="1" applyFill="1" applyBorder="1" applyAlignment="1">
      <alignment horizontal="center"/>
    </xf>
    <xf numFmtId="2" fontId="35" fillId="0" borderId="36" xfId="0" applyNumberFormat="1" applyFont="1" applyFill="1" applyBorder="1" applyAlignment="1">
      <alignment horizontal="center"/>
    </xf>
    <xf numFmtId="0" fontId="43" fillId="0" borderId="1" xfId="0" applyFont="1" applyBorder="1" applyProtection="1">
      <protection locked="0"/>
    </xf>
    <xf numFmtId="0" fontId="4" fillId="0" borderId="1" xfId="0" applyFont="1" applyBorder="1" applyAlignment="1" applyProtection="1">
      <alignment wrapText="1"/>
      <protection locked="0"/>
    </xf>
    <xf numFmtId="0" fontId="41" fillId="0" borderId="1" xfId="0" applyFont="1" applyBorder="1" applyAlignment="1" applyProtection="1">
      <alignment wrapText="1"/>
      <protection locked="0"/>
    </xf>
    <xf numFmtId="0" fontId="41" fillId="0" borderId="1" xfId="0" applyFont="1" applyBorder="1" applyProtection="1">
      <protection locked="0"/>
    </xf>
    <xf numFmtId="0" fontId="4" fillId="8" borderId="1" xfId="0" applyFont="1" applyFill="1" applyBorder="1" applyAlignment="1" applyProtection="1">
      <alignment wrapText="1"/>
      <protection locked="0"/>
    </xf>
    <xf numFmtId="0" fontId="4" fillId="9" borderId="1" xfId="0" applyFont="1" applyFill="1" applyBorder="1" applyAlignment="1" applyProtection="1">
      <alignment wrapText="1"/>
      <protection locked="0"/>
    </xf>
    <xf numFmtId="0" fontId="4" fillId="9" borderId="1" xfId="1" applyFont="1" applyFill="1" applyBorder="1" applyAlignment="1" applyProtection="1">
      <alignment wrapText="1"/>
      <protection locked="0"/>
    </xf>
    <xf numFmtId="0" fontId="4" fillId="10" borderId="1" xfId="0" applyFont="1" applyFill="1" applyBorder="1" applyAlignment="1" applyProtection="1">
      <alignment wrapText="1"/>
      <protection locked="0"/>
    </xf>
    <xf numFmtId="0" fontId="4" fillId="11" borderId="1" xfId="0" applyFont="1" applyFill="1" applyBorder="1" applyAlignment="1" applyProtection="1">
      <alignment wrapText="1"/>
      <protection locked="0"/>
    </xf>
    <xf numFmtId="0" fontId="41" fillId="4" borderId="1" xfId="0" applyFont="1" applyFill="1" applyBorder="1" applyAlignment="1" applyProtection="1">
      <alignment wrapText="1"/>
      <protection locked="0"/>
    </xf>
    <xf numFmtId="0" fontId="44" fillId="0" borderId="0" xfId="0" applyFont="1" applyBorder="1" applyAlignment="1"/>
    <xf numFmtId="0" fontId="41" fillId="0" borderId="0" xfId="0" applyFont="1" applyBorder="1"/>
    <xf numFmtId="0" fontId="35" fillId="0" borderId="0" xfId="0" applyFont="1" applyBorder="1" applyAlignment="1">
      <alignment vertical="top" wrapText="1"/>
    </xf>
    <xf numFmtId="0" fontId="43" fillId="0" borderId="0" xfId="0" applyFont="1" applyBorder="1" applyAlignment="1">
      <alignment horizontal="center"/>
    </xf>
    <xf numFmtId="0" fontId="43" fillId="0" borderId="37" xfId="0" applyFont="1" applyBorder="1" applyAlignment="1">
      <alignment horizontal="center"/>
    </xf>
    <xf numFmtId="0" fontId="45" fillId="7" borderId="31" xfId="0" applyFont="1" applyFill="1" applyBorder="1" applyAlignment="1">
      <alignment horizontal="center"/>
    </xf>
    <xf numFmtId="2" fontId="45" fillId="7" borderId="31" xfId="0" applyNumberFormat="1" applyFont="1" applyFill="1" applyBorder="1" applyAlignment="1">
      <alignment horizontal="center" vertical="center"/>
    </xf>
    <xf numFmtId="2" fontId="45" fillId="7" borderId="33" xfId="0" applyNumberFormat="1" applyFont="1" applyFill="1" applyBorder="1" applyAlignment="1">
      <alignment horizontal="center"/>
    </xf>
    <xf numFmtId="0" fontId="45" fillId="0" borderId="34" xfId="0" applyFont="1" applyFill="1" applyBorder="1" applyAlignment="1">
      <alignment horizontal="center"/>
    </xf>
    <xf numFmtId="2" fontId="45" fillId="0" borderId="34" xfId="0" applyNumberFormat="1" applyFont="1" applyFill="1" applyBorder="1" applyAlignment="1">
      <alignment horizontal="center" vertical="center"/>
    </xf>
    <xf numFmtId="2" fontId="45" fillId="0" borderId="35" xfId="0" applyNumberFormat="1" applyFont="1" applyFill="1" applyBorder="1" applyAlignment="1">
      <alignment horizontal="center"/>
    </xf>
    <xf numFmtId="0" fontId="45" fillId="0" borderId="31" xfId="0" applyFont="1" applyFill="1" applyBorder="1" applyAlignment="1">
      <alignment horizontal="center"/>
    </xf>
    <xf numFmtId="2" fontId="45" fillId="0" borderId="31" xfId="0" applyNumberFormat="1" applyFont="1" applyFill="1" applyBorder="1" applyAlignment="1">
      <alignment horizontal="center" vertical="center"/>
    </xf>
    <xf numFmtId="2" fontId="45" fillId="0" borderId="33" xfId="0" applyNumberFormat="1" applyFont="1" applyFill="1" applyBorder="1" applyAlignment="1">
      <alignment horizontal="center"/>
    </xf>
    <xf numFmtId="2" fontId="43" fillId="0" borderId="5" xfId="0" applyNumberFormat="1" applyFont="1" applyBorder="1" applyAlignment="1">
      <alignment horizontal="center"/>
    </xf>
    <xf numFmtId="2" fontId="43" fillId="0" borderId="37" xfId="0" applyNumberFormat="1" applyFont="1" applyBorder="1" applyAlignment="1">
      <alignment horizontal="center"/>
    </xf>
    <xf numFmtId="0" fontId="45" fillId="7" borderId="31" xfId="0" applyFont="1" applyFill="1" applyBorder="1"/>
    <xf numFmtId="0" fontId="41" fillId="7" borderId="31" xfId="0" applyFont="1" applyFill="1" applyBorder="1"/>
    <xf numFmtId="2" fontId="45" fillId="7" borderId="32" xfId="0" applyNumberFormat="1" applyFont="1" applyFill="1" applyBorder="1" applyAlignment="1">
      <alignment horizontal="center"/>
    </xf>
    <xf numFmtId="0" fontId="45" fillId="0" borderId="34" xfId="0" applyFont="1" applyFill="1" applyBorder="1" applyAlignment="1">
      <alignment horizontal="right"/>
    </xf>
    <xf numFmtId="0" fontId="41" fillId="0" borderId="34" xfId="0" applyFont="1" applyFill="1" applyBorder="1"/>
    <xf numFmtId="2" fontId="45" fillId="0" borderId="36" xfId="0" applyNumberFormat="1" applyFont="1" applyFill="1" applyBorder="1" applyAlignment="1">
      <alignment horizontal="center"/>
    </xf>
    <xf numFmtId="0" fontId="45" fillId="7" borderId="31" xfId="0" applyFont="1" applyFill="1" applyBorder="1" applyAlignment="1">
      <alignment horizontal="right"/>
    </xf>
    <xf numFmtId="0" fontId="45" fillId="0" borderId="31" xfId="0" applyFont="1" applyFill="1" applyBorder="1" applyAlignment="1">
      <alignment horizontal="right"/>
    </xf>
    <xf numFmtId="0" fontId="41" fillId="0" borderId="31" xfId="0" applyFont="1" applyFill="1" applyBorder="1"/>
    <xf numFmtId="2" fontId="41" fillId="0" borderId="5" xfId="0" applyNumberFormat="1" applyFont="1" applyBorder="1"/>
    <xf numFmtId="0" fontId="41" fillId="0" borderId="5" xfId="0" applyFont="1" applyBorder="1"/>
    <xf numFmtId="0" fontId="41" fillId="0" borderId="37" xfId="0" applyFont="1" applyBorder="1"/>
    <xf numFmtId="0" fontId="46" fillId="7" borderId="31" xfId="0" applyFont="1" applyFill="1" applyBorder="1" applyAlignment="1">
      <alignment horizontal="center"/>
    </xf>
    <xf numFmtId="2" fontId="46" fillId="7" borderId="32" xfId="0" applyNumberFormat="1" applyFont="1" applyFill="1" applyBorder="1" applyAlignment="1">
      <alignment horizontal="center"/>
    </xf>
    <xf numFmtId="0" fontId="46" fillId="0" borderId="34" xfId="0" applyFont="1" applyFill="1" applyBorder="1" applyAlignment="1">
      <alignment horizontal="center"/>
    </xf>
    <xf numFmtId="2" fontId="46" fillId="0" borderId="36" xfId="0" applyNumberFormat="1" applyFont="1" applyFill="1" applyBorder="1" applyAlignment="1">
      <alignment horizontal="center"/>
    </xf>
    <xf numFmtId="2" fontId="46" fillId="7" borderId="33" xfId="0" applyNumberFormat="1" applyFont="1" applyFill="1" applyBorder="1" applyAlignment="1">
      <alignment horizontal="center"/>
    </xf>
    <xf numFmtId="2" fontId="46" fillId="0" borderId="35" xfId="0" applyNumberFormat="1" applyFont="1" applyFill="1" applyBorder="1" applyAlignment="1">
      <alignment horizontal="center"/>
    </xf>
    <xf numFmtId="0" fontId="46" fillId="0" borderId="31" xfId="0" applyFont="1" applyFill="1" applyBorder="1" applyAlignment="1">
      <alignment horizontal="center"/>
    </xf>
    <xf numFmtId="2" fontId="46" fillId="0" borderId="32" xfId="0" applyNumberFormat="1" applyFont="1" applyFill="1" applyBorder="1" applyAlignment="1">
      <alignment horizontal="center"/>
    </xf>
    <xf numFmtId="2" fontId="41" fillId="0" borderId="0" xfId="0" applyNumberFormat="1" applyFont="1"/>
    <xf numFmtId="0" fontId="41" fillId="7" borderId="1" xfId="0" applyFont="1" applyFill="1" applyBorder="1" applyProtection="1">
      <protection locked="0"/>
    </xf>
    <xf numFmtId="0" fontId="41" fillId="7" borderId="6" xfId="0" applyFont="1" applyFill="1" applyBorder="1" applyProtection="1">
      <protection locked="0"/>
    </xf>
    <xf numFmtId="0" fontId="41" fillId="7" borderId="7" xfId="0" applyFont="1" applyFill="1" applyBorder="1" applyProtection="1">
      <protection locked="0"/>
    </xf>
    <xf numFmtId="0" fontId="41" fillId="7" borderId="8" xfId="0" applyFont="1" applyFill="1" applyBorder="1" applyProtection="1">
      <protection locked="0"/>
    </xf>
    <xf numFmtId="0" fontId="41" fillId="7" borderId="1" xfId="0" applyFont="1" applyFill="1" applyBorder="1" applyAlignment="1" applyProtection="1">
      <alignment horizontal="left"/>
      <protection locked="0"/>
    </xf>
    <xf numFmtId="0" fontId="4" fillId="10" borderId="1" xfId="0" applyFont="1" applyFill="1" applyBorder="1" applyAlignment="1" applyProtection="1">
      <alignment horizontal="left" wrapText="1"/>
      <protection locked="0"/>
    </xf>
    <xf numFmtId="0" fontId="41" fillId="4" borderId="1" xfId="0" applyFont="1" applyFill="1" applyBorder="1" applyAlignment="1" applyProtection="1">
      <alignment horizontal="left" wrapText="1"/>
      <protection locked="0"/>
    </xf>
    <xf numFmtId="0" fontId="0" fillId="0" borderId="0" xfId="0" applyAlignment="1">
      <alignment horizontal="left"/>
    </xf>
    <xf numFmtId="0" fontId="1" fillId="0" borderId="1" xfId="0" applyFont="1" applyBorder="1" applyAlignment="1">
      <alignment horizontal="left"/>
    </xf>
    <xf numFmtId="0" fontId="1" fillId="6" borderId="1" xfId="0" applyFont="1" applyFill="1" applyBorder="1" applyAlignment="1">
      <alignment horizontal="left"/>
    </xf>
    <xf numFmtId="0" fontId="0" fillId="0" borderId="1" xfId="0" applyBorder="1"/>
    <xf numFmtId="0" fontId="0" fillId="0" borderId="1" xfId="0" applyBorder="1" applyAlignment="1">
      <alignment horizontal="left"/>
    </xf>
    <xf numFmtId="0" fontId="35" fillId="0" borderId="1" xfId="0" applyFont="1" applyBorder="1"/>
    <xf numFmtId="0" fontId="47" fillId="0" borderId="1" xfId="0" applyFont="1" applyBorder="1"/>
    <xf numFmtId="0" fontId="1" fillId="6"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xf numFmtId="0" fontId="48" fillId="0" borderId="1" xfId="0" applyFont="1" applyBorder="1" applyAlignment="1">
      <alignment vertical="top" wrapText="1"/>
    </xf>
    <xf numFmtId="0" fontId="0" fillId="0" borderId="1" xfId="0" quotePrefix="1" applyBorder="1" applyAlignment="1">
      <alignment vertical="top" wrapText="1"/>
    </xf>
    <xf numFmtId="0" fontId="0" fillId="0" borderId="1" xfId="0" quotePrefix="1" applyFont="1" applyBorder="1" applyAlignment="1">
      <alignment vertical="top" wrapText="1"/>
    </xf>
    <xf numFmtId="0" fontId="0" fillId="0" borderId="1" xfId="0" applyBorder="1" applyAlignment="1">
      <alignment vertical="top"/>
    </xf>
    <xf numFmtId="0" fontId="49" fillId="4" borderId="1" xfId="0" applyFont="1" applyFill="1" applyBorder="1" applyAlignment="1">
      <alignment horizontal="center" vertical="center" wrapText="1"/>
    </xf>
    <xf numFmtId="0" fontId="48" fillId="0" borderId="4" xfId="0" applyFont="1" applyBorder="1" applyAlignment="1">
      <alignment vertical="top" wrapText="1"/>
    </xf>
    <xf numFmtId="0" fontId="48" fillId="0" borderId="4" xfId="0" applyFont="1" applyBorder="1" applyAlignment="1">
      <alignment vertical="top"/>
    </xf>
    <xf numFmtId="0" fontId="41" fillId="4" borderId="3" xfId="0" applyFont="1" applyFill="1" applyBorder="1" applyAlignment="1" applyProtection="1">
      <alignment wrapText="1"/>
      <protection locked="0"/>
    </xf>
    <xf numFmtId="0" fontId="41" fillId="4" borderId="4" xfId="0" applyFont="1" applyFill="1" applyBorder="1" applyAlignment="1" applyProtection="1">
      <alignment wrapText="1"/>
      <protection locked="0"/>
    </xf>
    <xf numFmtId="0" fontId="43" fillId="12" borderId="6" xfId="0" applyFont="1" applyFill="1" applyBorder="1" applyAlignment="1" applyProtection="1">
      <alignment horizontal="center"/>
      <protection locked="0"/>
    </xf>
    <xf numFmtId="0" fontId="4" fillId="12" borderId="2" xfId="0" applyFont="1" applyFill="1" applyBorder="1" applyAlignment="1" applyProtection="1">
      <alignment wrapText="1"/>
      <protection locked="0"/>
    </xf>
    <xf numFmtId="0" fontId="20" fillId="6" borderId="1" xfId="0" applyFont="1" applyFill="1" applyBorder="1"/>
    <xf numFmtId="2" fontId="1" fillId="6" borderId="1" xfId="0" applyNumberFormat="1" applyFont="1" applyFill="1" applyBorder="1" applyAlignment="1">
      <alignment horizontal="center"/>
    </xf>
    <xf numFmtId="1" fontId="47" fillId="0" borderId="1" xfId="0" applyNumberFormat="1" applyFont="1" applyBorder="1"/>
    <xf numFmtId="0" fontId="1" fillId="13" borderId="1" xfId="0" applyFont="1" applyFill="1" applyBorder="1"/>
    <xf numFmtId="0" fontId="1" fillId="13" borderId="1" xfId="0" applyFont="1" applyFill="1" applyBorder="1" applyAlignment="1">
      <alignment horizontal="center" vertical="center"/>
    </xf>
    <xf numFmtId="0" fontId="1" fillId="13" borderId="1" xfId="2" applyFont="1" applyFill="1" applyBorder="1" applyAlignment="1">
      <alignment horizontal="left"/>
    </xf>
    <xf numFmtId="0" fontId="47" fillId="13" borderId="1" xfId="0" applyFont="1" applyFill="1" applyBorder="1"/>
    <xf numFmtId="0" fontId="1" fillId="13" borderId="1" xfId="0" applyFont="1" applyFill="1" applyBorder="1" applyAlignment="1">
      <alignment horizontal="left"/>
    </xf>
    <xf numFmtId="0" fontId="1" fillId="13" borderId="1" xfId="0" applyFont="1" applyFill="1" applyBorder="1" applyAlignment="1">
      <alignment horizontal="center"/>
    </xf>
    <xf numFmtId="1" fontId="47" fillId="13" borderId="1" xfId="0" applyNumberFormat="1" applyFont="1" applyFill="1" applyBorder="1"/>
    <xf numFmtId="0" fontId="41" fillId="13" borderId="1" xfId="0" applyFont="1" applyFill="1" applyBorder="1" applyProtection="1">
      <protection locked="0"/>
    </xf>
    <xf numFmtId="0" fontId="0" fillId="0" borderId="0" xfId="0" applyAlignment="1"/>
    <xf numFmtId="1" fontId="41" fillId="0" borderId="0" xfId="0" applyNumberFormat="1" applyFont="1" applyBorder="1"/>
    <xf numFmtId="1" fontId="41" fillId="0" borderId="5" xfId="0" applyNumberFormat="1" applyFont="1" applyBorder="1"/>
    <xf numFmtId="0" fontId="40" fillId="0" borderId="0" xfId="0" applyFont="1" applyBorder="1"/>
    <xf numFmtId="1" fontId="40" fillId="0" borderId="0" xfId="0" applyNumberFormat="1" applyFont="1" applyBorder="1"/>
    <xf numFmtId="0" fontId="32" fillId="0" borderId="0" xfId="0" applyFont="1" applyBorder="1"/>
    <xf numFmtId="2" fontId="1" fillId="13" borderId="1" xfId="0" applyNumberFormat="1" applyFont="1" applyFill="1" applyBorder="1" applyAlignment="1">
      <alignment horizontal="center"/>
    </xf>
    <xf numFmtId="0" fontId="0" fillId="0" borderId="7" xfId="0" applyBorder="1" applyAlignment="1">
      <alignment vertical="top"/>
    </xf>
    <xf numFmtId="0" fontId="50" fillId="0" borderId="7" xfId="0" applyFont="1" applyBorder="1" applyAlignment="1">
      <alignment vertical="top" wrapText="1"/>
    </xf>
    <xf numFmtId="0" fontId="51" fillId="0" borderId="0" xfId="0" applyFont="1"/>
    <xf numFmtId="0" fontId="45" fillId="0" borderId="0" xfId="0" applyFont="1" applyFill="1" applyBorder="1" applyAlignment="1">
      <alignment horizontal="right"/>
    </xf>
    <xf numFmtId="0" fontId="45" fillId="0" borderId="0" xfId="0" applyFont="1" applyFill="1" applyBorder="1" applyAlignment="1">
      <alignment horizontal="center"/>
    </xf>
    <xf numFmtId="2" fontId="45" fillId="0" borderId="0" xfId="0" applyNumberFormat="1" applyFont="1" applyFill="1" applyBorder="1" applyAlignment="1">
      <alignment horizontal="center" vertical="center"/>
    </xf>
    <xf numFmtId="2" fontId="45" fillId="0" borderId="0" xfId="0" applyNumberFormat="1" applyFont="1" applyFill="1" applyBorder="1" applyAlignment="1">
      <alignment horizontal="center"/>
    </xf>
    <xf numFmtId="0" fontId="52" fillId="0" borderId="0" xfId="0" applyFont="1" applyBorder="1"/>
    <xf numFmtId="0" fontId="39" fillId="0" borderId="0" xfId="0" applyFont="1" applyFill="1" applyBorder="1" applyAlignment="1">
      <alignment horizontal="right"/>
    </xf>
    <xf numFmtId="0" fontId="39" fillId="0" borderId="0" xfId="0" applyFont="1" applyFill="1" applyBorder="1" applyAlignment="1">
      <alignment horizontal="center"/>
    </xf>
    <xf numFmtId="0" fontId="32" fillId="0" borderId="0" xfId="0" applyFont="1"/>
    <xf numFmtId="0" fontId="32" fillId="0" borderId="0" xfId="0" applyFont="1" applyAlignment="1"/>
    <xf numFmtId="0" fontId="1" fillId="6" borderId="1" xfId="0" applyFont="1" applyFill="1" applyBorder="1" applyAlignment="1">
      <alignment horizontal="left" vertical="center"/>
    </xf>
    <xf numFmtId="2" fontId="47" fillId="0" borderId="1" xfId="0" applyNumberFormat="1" applyFont="1" applyBorder="1" applyAlignment="1">
      <alignment horizontal="left"/>
    </xf>
    <xf numFmtId="0" fontId="47" fillId="0" borderId="1" xfId="0" applyFont="1" applyBorder="1" applyAlignment="1">
      <alignment horizontal="left"/>
    </xf>
    <xf numFmtId="3" fontId="1" fillId="6" borderId="1" xfId="0" applyNumberFormat="1" applyFont="1" applyFill="1" applyBorder="1" applyAlignment="1">
      <alignment horizontal="left" vertical="center"/>
    </xf>
    <xf numFmtId="0" fontId="43" fillId="4" borderId="6" xfId="0" applyFont="1" applyFill="1" applyBorder="1" applyAlignment="1" applyProtection="1">
      <alignment horizontal="left"/>
      <protection locked="0"/>
    </xf>
    <xf numFmtId="0" fontId="43" fillId="4" borderId="7" xfId="0" applyFont="1" applyFill="1" applyBorder="1" applyAlignment="1" applyProtection="1">
      <alignment horizontal="left"/>
      <protection locked="0"/>
    </xf>
    <xf numFmtId="0" fontId="43" fillId="4" borderId="8" xfId="0" applyFont="1" applyFill="1" applyBorder="1" applyAlignment="1" applyProtection="1">
      <alignment horizontal="left"/>
      <protection locked="0"/>
    </xf>
    <xf numFmtId="0" fontId="41" fillId="8" borderId="1" xfId="0" applyFont="1" applyFill="1" applyBorder="1" applyAlignment="1" applyProtection="1">
      <alignment horizontal="right" wrapText="1"/>
      <protection locked="0"/>
    </xf>
    <xf numFmtId="0" fontId="43" fillId="8" borderId="1" xfId="0" applyFont="1" applyFill="1" applyBorder="1" applyAlignment="1" applyProtection="1">
      <alignment horizontal="center"/>
      <protection locked="0"/>
    </xf>
    <xf numFmtId="0" fontId="43" fillId="11" borderId="1" xfId="0" applyFont="1" applyFill="1" applyBorder="1" applyAlignment="1" applyProtection="1">
      <alignment horizontal="center"/>
      <protection locked="0"/>
    </xf>
    <xf numFmtId="0" fontId="43" fillId="10" borderId="1" xfId="0" applyFont="1" applyFill="1" applyBorder="1" applyAlignment="1" applyProtection="1">
      <alignment horizontal="center"/>
      <protection locked="0"/>
    </xf>
    <xf numFmtId="0" fontId="43" fillId="9" borderId="1" xfId="0" applyFont="1" applyFill="1" applyBorder="1" applyAlignment="1" applyProtection="1">
      <alignment horizontal="center"/>
      <protection locked="0"/>
    </xf>
    <xf numFmtId="0" fontId="49" fillId="11" borderId="1" xfId="0" applyFont="1" applyFill="1" applyBorder="1" applyAlignment="1">
      <alignment horizontal="center" vertical="center" wrapText="1"/>
    </xf>
    <xf numFmtId="0" fontId="49" fillId="4" borderId="1" xfId="0" applyFont="1" applyFill="1" applyBorder="1" applyAlignment="1">
      <alignment horizontal="center" vertical="center" wrapText="1"/>
    </xf>
    <xf numFmtId="0" fontId="49" fillId="9" borderId="1" xfId="0" applyFont="1" applyFill="1" applyBorder="1" applyAlignment="1">
      <alignment horizontal="center" vertical="center" wrapText="1"/>
    </xf>
    <xf numFmtId="0" fontId="49" fillId="10" borderId="1" xfId="0" applyFont="1" applyFill="1" applyBorder="1" applyAlignment="1">
      <alignment horizontal="center" vertical="center" wrapText="1"/>
    </xf>
    <xf numFmtId="0" fontId="48" fillId="0" borderId="9" xfId="0" applyFont="1" applyBorder="1" applyAlignment="1">
      <alignment horizontal="left" vertical="top" wrapText="1"/>
    </xf>
    <xf numFmtId="0" fontId="48" fillId="0" borderId="10" xfId="0" applyFont="1" applyBorder="1" applyAlignment="1">
      <alignment horizontal="left" vertical="top" wrapText="1"/>
    </xf>
    <xf numFmtId="0" fontId="53" fillId="0" borderId="11" xfId="0" quotePrefix="1" applyFont="1" applyBorder="1" applyAlignment="1">
      <alignment horizontal="left" vertical="top" wrapText="1"/>
    </xf>
    <xf numFmtId="0" fontId="53" fillId="0" borderId="11" xfId="0" applyFont="1" applyBorder="1" applyAlignment="1">
      <alignment horizontal="left" vertical="top" wrapText="1"/>
    </xf>
    <xf numFmtId="0" fontId="53" fillId="0" borderId="12" xfId="0" applyFont="1" applyBorder="1" applyAlignment="1">
      <alignment horizontal="left" vertical="top" wrapText="1"/>
    </xf>
    <xf numFmtId="0" fontId="53" fillId="0" borderId="13" xfId="0" applyFont="1" applyBorder="1" applyAlignment="1">
      <alignment horizontal="left" vertical="top" wrapText="1"/>
    </xf>
    <xf numFmtId="0" fontId="53" fillId="0" borderId="14" xfId="0" applyFont="1" applyBorder="1" applyAlignment="1">
      <alignment horizontal="left" vertical="top" wrapText="1"/>
    </xf>
    <xf numFmtId="0" fontId="54" fillId="6" borderId="15" xfId="0" applyFont="1" applyFill="1" applyBorder="1" applyAlignment="1">
      <alignment horizontal="left" vertical="top" wrapText="1"/>
    </xf>
    <xf numFmtId="0" fontId="54" fillId="6" borderId="7" xfId="0" applyFont="1" applyFill="1" applyBorder="1" applyAlignment="1">
      <alignment horizontal="left" vertical="top" wrapText="1"/>
    </xf>
    <xf numFmtId="0" fontId="55" fillId="0" borderId="7" xfId="0" applyFont="1" applyBorder="1" applyAlignment="1">
      <alignment horizontal="left" vertical="top" wrapText="1"/>
    </xf>
    <xf numFmtId="0" fontId="41" fillId="8" borderId="6" xfId="0" applyFont="1" applyFill="1" applyBorder="1" applyAlignment="1" applyProtection="1">
      <alignment horizontal="right" wrapText="1"/>
      <protection locked="0"/>
    </xf>
    <xf numFmtId="0" fontId="41" fillId="8" borderId="7" xfId="0" applyFont="1" applyFill="1" applyBorder="1" applyAlignment="1" applyProtection="1">
      <alignment horizontal="right" wrapText="1"/>
      <protection locked="0"/>
    </xf>
    <xf numFmtId="0" fontId="41" fillId="8" borderId="8" xfId="0" applyFont="1" applyFill="1" applyBorder="1" applyAlignment="1" applyProtection="1">
      <alignment horizontal="right" wrapText="1"/>
      <protection locked="0"/>
    </xf>
    <xf numFmtId="2" fontId="56" fillId="0" borderId="0" xfId="0" applyNumberFormat="1" applyFont="1" applyBorder="1" applyAlignment="1">
      <alignment wrapText="1"/>
    </xf>
    <xf numFmtId="2" fontId="56" fillId="0" borderId="5" xfId="0" applyNumberFormat="1" applyFont="1" applyBorder="1" applyAlignment="1">
      <alignment wrapText="1"/>
    </xf>
    <xf numFmtId="2" fontId="56" fillId="0" borderId="37" xfId="0" applyNumberFormat="1" applyFont="1" applyBorder="1" applyAlignment="1">
      <alignment wrapText="1"/>
    </xf>
    <xf numFmtId="2" fontId="56" fillId="0" borderId="0" xfId="0" applyNumberFormat="1" applyFont="1" applyBorder="1" applyAlignment="1">
      <alignment horizontal="left" wrapText="1"/>
    </xf>
    <xf numFmtId="2" fontId="56" fillId="0" borderId="5" xfId="0" applyNumberFormat="1" applyFont="1" applyBorder="1" applyAlignment="1">
      <alignment horizontal="left" wrapText="1"/>
    </xf>
    <xf numFmtId="0" fontId="57" fillId="3" borderId="24" xfId="1" applyFont="1" applyAlignment="1">
      <alignment horizontal="left" wrapText="1"/>
    </xf>
    <xf numFmtId="0" fontId="35" fillId="0" borderId="0" xfId="0" applyFont="1" applyBorder="1" applyAlignment="1">
      <alignment horizontal="left" wrapText="1"/>
    </xf>
    <xf numFmtId="0" fontId="43" fillId="0" borderId="38" xfId="0" applyFont="1" applyBorder="1" applyAlignment="1">
      <alignment horizontal="center" wrapText="1"/>
    </xf>
    <xf numFmtId="2" fontId="44" fillId="0" borderId="0" xfId="0" applyNumberFormat="1" applyFont="1" applyBorder="1" applyAlignment="1">
      <alignment horizontal="left" wrapText="1"/>
    </xf>
    <xf numFmtId="2" fontId="44" fillId="0" borderId="5" xfId="0" applyNumberFormat="1" applyFont="1" applyBorder="1" applyAlignment="1">
      <alignment horizontal="left" wrapText="1"/>
    </xf>
    <xf numFmtId="0" fontId="43" fillId="0" borderId="0" xfId="0" applyFont="1" applyBorder="1" applyAlignment="1">
      <alignment horizontal="center" wrapText="1"/>
    </xf>
    <xf numFmtId="0" fontId="54" fillId="6" borderId="21" xfId="0" applyFont="1" applyFill="1" applyBorder="1" applyAlignment="1">
      <alignment horizontal="left" vertical="top" wrapText="1"/>
    </xf>
    <xf numFmtId="0" fontId="54" fillId="6" borderId="22" xfId="0" applyFont="1" applyFill="1" applyBorder="1" applyAlignment="1">
      <alignment horizontal="left" vertical="top" wrapText="1"/>
    </xf>
    <xf numFmtId="0" fontId="54" fillId="6" borderId="23" xfId="0" applyFont="1" applyFill="1" applyBorder="1" applyAlignment="1">
      <alignment horizontal="left" vertical="top" wrapText="1"/>
    </xf>
    <xf numFmtId="0" fontId="54" fillId="6" borderId="16" xfId="0" applyFont="1" applyFill="1" applyBorder="1" applyAlignment="1">
      <alignment horizontal="left" vertical="top" wrapText="1"/>
    </xf>
    <xf numFmtId="0" fontId="54" fillId="6" borderId="17" xfId="0" applyFont="1" applyFill="1" applyBorder="1" applyAlignment="1">
      <alignment horizontal="left" vertical="top"/>
    </xf>
    <xf numFmtId="0" fontId="54" fillId="6" borderId="18" xfId="0" applyFont="1" applyFill="1" applyBorder="1" applyAlignment="1">
      <alignment horizontal="left" vertical="top"/>
    </xf>
    <xf numFmtId="0" fontId="54" fillId="6" borderId="19" xfId="0" applyFont="1" applyFill="1" applyBorder="1" applyAlignment="1">
      <alignment horizontal="left" vertical="top" wrapText="1"/>
    </xf>
    <xf numFmtId="0" fontId="54" fillId="6" borderId="0" xfId="0" applyFont="1" applyFill="1" applyBorder="1" applyAlignment="1">
      <alignment horizontal="left" vertical="top"/>
    </xf>
    <xf numFmtId="0" fontId="54" fillId="6" borderId="20" xfId="0" applyFont="1" applyFill="1" applyBorder="1" applyAlignment="1">
      <alignment horizontal="left" vertical="top"/>
    </xf>
    <xf numFmtId="0" fontId="39" fillId="17" borderId="39" xfId="0" applyFont="1" applyFill="1" applyBorder="1" applyAlignment="1">
      <alignment horizontal="left" vertical="center"/>
    </xf>
    <xf numFmtId="49" fontId="40" fillId="5" borderId="40" xfId="0" applyNumberFormat="1" applyFont="1" applyFill="1" applyBorder="1" applyAlignment="1">
      <alignment horizontal="left" vertical="center" wrapText="1"/>
    </xf>
    <xf numFmtId="49" fontId="40" fillId="5" borderId="41" xfId="0" applyNumberFormat="1" applyFont="1" applyFill="1" applyBorder="1" applyAlignment="1">
      <alignment horizontal="left" vertical="center" wrapText="1"/>
    </xf>
    <xf numFmtId="49" fontId="40" fillId="5" borderId="42" xfId="0" applyNumberFormat="1" applyFont="1" applyFill="1" applyBorder="1" applyAlignment="1">
      <alignment horizontal="left" vertical="center" wrapText="1"/>
    </xf>
    <xf numFmtId="49" fontId="39" fillId="18" borderId="25" xfId="0" applyNumberFormat="1" applyFont="1" applyFill="1" applyBorder="1" applyAlignment="1">
      <alignment horizontal="left" vertical="center" wrapText="1"/>
    </xf>
    <xf numFmtId="0" fontId="36" fillId="0" borderId="0" xfId="0" applyFont="1" applyFill="1" applyBorder="1" applyAlignment="1">
      <alignment horizontal="center"/>
    </xf>
    <xf numFmtId="49" fontId="40" fillId="5" borderId="26" xfId="0" applyNumberFormat="1" applyFont="1" applyFill="1" applyBorder="1" applyAlignment="1">
      <alignment horizontal="left" vertical="center" wrapText="1"/>
    </xf>
    <xf numFmtId="0" fontId="39" fillId="19" borderId="0" xfId="0" applyFont="1" applyFill="1" applyAlignment="1">
      <alignment horizontal="left" vertical="center"/>
    </xf>
    <xf numFmtId="0" fontId="39" fillId="20" borderId="0" xfId="0" applyFont="1" applyFill="1" applyAlignment="1">
      <alignment horizontal="left" vertical="center"/>
    </xf>
    <xf numFmtId="0" fontId="39" fillId="14" borderId="25" xfId="0" applyFont="1" applyFill="1" applyBorder="1" applyAlignment="1">
      <alignment horizontal="left" vertical="center"/>
    </xf>
    <xf numFmtId="0" fontId="39" fillId="15" borderId="25" xfId="0" applyFont="1" applyFill="1" applyBorder="1" applyAlignment="1">
      <alignment horizontal="left" vertical="center"/>
    </xf>
    <xf numFmtId="0" fontId="39" fillId="16" borderId="25" xfId="0" applyFont="1" applyFill="1" applyBorder="1" applyAlignment="1">
      <alignment horizontal="left" vertical="center"/>
    </xf>
    <xf numFmtId="49" fontId="40" fillId="2" borderId="26" xfId="0" applyNumberFormat="1" applyFont="1" applyFill="1" applyBorder="1" applyAlignment="1">
      <alignment horizontal="left" vertical="center" wrapText="1"/>
    </xf>
    <xf numFmtId="0" fontId="39" fillId="17" borderId="0" xfId="0" applyFont="1" applyFill="1" applyAlignment="1">
      <alignment horizontal="left" vertical="center"/>
    </xf>
    <xf numFmtId="0" fontId="39" fillId="14" borderId="28" xfId="0" applyFont="1" applyFill="1" applyBorder="1" applyAlignment="1">
      <alignment horizontal="left" vertical="center"/>
    </xf>
    <xf numFmtId="49" fontId="40" fillId="5" borderId="29" xfId="0" applyNumberFormat="1" applyFont="1" applyFill="1" applyBorder="1" applyAlignment="1">
      <alignment horizontal="left" vertical="center" wrapText="1"/>
    </xf>
    <xf numFmtId="0" fontId="39" fillId="21" borderId="39" xfId="0" applyFont="1" applyFill="1" applyBorder="1" applyAlignment="1">
      <alignment horizontal="left" vertical="center"/>
    </xf>
    <xf numFmtId="0" fontId="39" fillId="16" borderId="28" xfId="0" applyFont="1" applyFill="1" applyBorder="1" applyAlignment="1">
      <alignment horizontal="left" vertical="center"/>
    </xf>
    <xf numFmtId="2" fontId="44" fillId="0" borderId="0" xfId="0" applyNumberFormat="1" applyFont="1" applyBorder="1" applyAlignment="1">
      <alignment wrapText="1"/>
    </xf>
    <xf numFmtId="2" fontId="44" fillId="0" borderId="37" xfId="0" applyNumberFormat="1" applyFont="1" applyBorder="1" applyAlignment="1">
      <alignment wrapText="1"/>
    </xf>
    <xf numFmtId="2" fontId="44" fillId="0" borderId="5" xfId="0" applyNumberFormat="1" applyFont="1" applyBorder="1" applyAlignment="1">
      <alignment wrapText="1"/>
    </xf>
    <xf numFmtId="0" fontId="44" fillId="0" borderId="0" xfId="0" applyFont="1" applyBorder="1" applyAlignment="1">
      <alignment horizontal="left"/>
    </xf>
  </cellXfs>
  <cellStyles count="3">
    <cellStyle name="Input" xfId="1" builtinId="20"/>
    <cellStyle name="Normal" xfId="0" builtinId="0"/>
    <cellStyle name="Normal_ROOM1" xfId="2" xr:uid="{C47A7E70-05D3-4840-AE3A-86548E884E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jci.com/personal/ctayloj_jci_com/Documents/A%20-%20Key%20Desktop%20Files/SCT%2011_2%20RAC/Master%20Room%20Schedules/Base%20Room%20Schedule%20Empt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om Schedule"/>
      <sheetName val="ConfigTemplate"/>
      <sheetName val="Bootstrap"/>
    </sheetNames>
    <sheetDataSet>
      <sheetData sheetId="0">
        <row r="1">
          <cell r="BC1" t="str">
            <v>(new entry)</v>
          </cell>
        </row>
        <row r="2">
          <cell r="BC2" t="str">
            <v>MS-VMA1610-0</v>
          </cell>
        </row>
        <row r="3">
          <cell r="BC3" t="str">
            <v>MS-VMA1615-0</v>
          </cell>
        </row>
        <row r="4">
          <cell r="BC4" t="str">
            <v>AP-VMA1430-0</v>
          </cell>
        </row>
        <row r="5">
          <cell r="BC5" t="str">
            <v>AP-VMA1430-0</v>
          </cell>
        </row>
        <row r="6">
          <cell r="BC6" t="str">
            <v>AP-VMA1430-0</v>
          </cell>
        </row>
        <row r="7">
          <cell r="BC7" t="str">
            <v>AP-VMA1430-0</v>
          </cell>
        </row>
        <row r="8">
          <cell r="BC8" t="str">
            <v>AP-VMA1430-0</v>
          </cell>
        </row>
        <row r="9">
          <cell r="BC9" t="str">
            <v>AP-VMA1430-0</v>
          </cell>
        </row>
        <row r="10">
          <cell r="BC10" t="str">
            <v>AP-VMA1430-0</v>
          </cell>
        </row>
        <row r="11">
          <cell r="BC11" t="str">
            <v>AP-VMA1430-0</v>
          </cell>
        </row>
        <row r="12">
          <cell r="BC12" t="str">
            <v>MS-FAC2611-0</v>
          </cell>
        </row>
        <row r="13">
          <cell r="BC13" t="str">
            <v>AP-VMA1430-0</v>
          </cell>
        </row>
        <row r="14">
          <cell r="BC14" t="str">
            <v>AP-VMA1430-0</v>
          </cell>
        </row>
        <row r="15">
          <cell r="BC15" t="str">
            <v>AP-VMA1430-0</v>
          </cell>
        </row>
        <row r="16">
          <cell r="BC16" t="str">
            <v>AP-VMA1430-0</v>
          </cell>
        </row>
        <row r="17">
          <cell r="BC17" t="str">
            <v>AP-VMA1430-0</v>
          </cell>
        </row>
        <row r="18">
          <cell r="BC18" t="str">
            <v>AP-VMA1430-0</v>
          </cell>
        </row>
        <row r="19">
          <cell r="BC19" t="str">
            <v>AP-VMA1430-0</v>
          </cell>
        </row>
        <row r="20">
          <cell r="BC20" t="str">
            <v>AP-VMA1430-0</v>
          </cell>
        </row>
        <row r="21">
          <cell r="BC21" t="str">
            <v>AP-VMA1430-0</v>
          </cell>
        </row>
        <row r="22">
          <cell r="BC22" t="str">
            <v>AP-VMA1430-0</v>
          </cell>
        </row>
        <row r="23">
          <cell r="BC23" t="str">
            <v>AP-VMA1430-0</v>
          </cell>
        </row>
        <row r="24">
          <cell r="BC24" t="str">
            <v>AP-VMA1430-0</v>
          </cell>
        </row>
        <row r="25">
          <cell r="BC25" t="str">
            <v>AP-VMA1430-0</v>
          </cell>
        </row>
        <row r="26">
          <cell r="BC26" t="str">
            <v>AP-VMA1430-0</v>
          </cell>
        </row>
        <row r="27">
          <cell r="BC27" t="str">
            <v>AP-VMA1430-0</v>
          </cell>
        </row>
        <row r="28">
          <cell r="BC28" t="str">
            <v>MS-FAC2612-1</v>
          </cell>
        </row>
        <row r="29">
          <cell r="BC29" t="str">
            <v>MS-FAC2612-1</v>
          </cell>
        </row>
        <row r="30">
          <cell r="BC30" t="str">
            <v>MS-FAC2612-1</v>
          </cell>
        </row>
        <row r="31">
          <cell r="BC31" t="str">
            <v>MS-FAC2612-1</v>
          </cell>
        </row>
        <row r="32">
          <cell r="BC32" t="str">
            <v>MS-FAC2612-2</v>
          </cell>
        </row>
        <row r="33">
          <cell r="BC33" t="str">
            <v>MS-FAC3611-0</v>
          </cell>
        </row>
        <row r="34">
          <cell r="BC34" t="str">
            <v>MS-FEC1611-1</v>
          </cell>
        </row>
        <row r="35">
          <cell r="BC35" t="str">
            <v>TEC2645-4</v>
          </cell>
        </row>
        <row r="36">
          <cell r="BC36" t="str">
            <v>SEE SYS SERVING</v>
          </cell>
        </row>
        <row r="37">
          <cell r="BC37" t="str">
            <v>TEC2647-4</v>
          </cell>
        </row>
      </sheetData>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BECB-53BF-1048-A3F7-D5DBF6F2D4EF}">
  <dimension ref="A1:AI6"/>
  <sheetViews>
    <sheetView zoomScale="80" zoomScaleNormal="80" workbookViewId="0">
      <pane xSplit="4" ySplit="6" topLeftCell="E7" activePane="bottomRight" state="frozen"/>
      <selection pane="topRight" activeCell="E1" sqref="E1"/>
      <selection pane="bottomLeft" activeCell="A5" sqref="A5"/>
      <selection pane="bottomRight" activeCell="E7" sqref="E7"/>
    </sheetView>
  </sheetViews>
  <sheetFormatPr baseColWidth="10" defaultColWidth="9.1640625" defaultRowHeight="14"/>
  <cols>
    <col min="1" max="1" width="21.5" style="58" customWidth="1"/>
    <col min="2" max="2" width="14.33203125" style="58" customWidth="1"/>
    <col min="3" max="3" width="25" style="58" customWidth="1"/>
    <col min="4" max="4" width="19.5" style="58" customWidth="1"/>
    <col min="5" max="5" width="21.33203125" style="58" customWidth="1"/>
    <col min="6" max="6" width="20.6640625" style="58" customWidth="1"/>
    <col min="7" max="7" width="22.6640625" style="58" customWidth="1"/>
    <col min="8" max="8" width="18.5" style="58" customWidth="1"/>
    <col min="9" max="9" width="13.6640625" style="58" customWidth="1"/>
    <col min="10" max="10" width="19.33203125" style="58" customWidth="1"/>
    <col min="11" max="11" width="16.1640625" style="58" customWidth="1"/>
    <col min="12" max="12" width="13.83203125" style="58" customWidth="1"/>
    <col min="13" max="13" width="12" style="58" customWidth="1"/>
    <col min="14" max="14" width="11.83203125" style="58" customWidth="1"/>
    <col min="15" max="15" width="12.1640625" style="58" customWidth="1"/>
    <col min="16" max="16" width="13.1640625" style="58" customWidth="1"/>
    <col min="17" max="17" width="13.5" style="58" customWidth="1"/>
    <col min="18" max="18" width="11.5" style="58" customWidth="1"/>
    <col min="19" max="19" width="15" style="58" customWidth="1"/>
    <col min="20" max="20" width="16.5" style="58" customWidth="1"/>
    <col min="21" max="21" width="15.5" style="58" customWidth="1"/>
    <col min="22" max="23" width="11.5" style="58" customWidth="1"/>
    <col min="24" max="24" width="20.6640625" style="58" customWidth="1"/>
    <col min="25" max="25" width="18.33203125" style="58" customWidth="1"/>
    <col min="26" max="26" width="14.5" style="58" customWidth="1"/>
    <col min="27" max="16384" width="9.1640625" style="58"/>
  </cols>
  <sheetData>
    <row r="1" spans="1:35" s="102" customFormat="1">
      <c r="A1" s="102" t="s">
        <v>251</v>
      </c>
      <c r="B1" s="102" t="s">
        <v>253</v>
      </c>
      <c r="C1" s="102" t="s">
        <v>254</v>
      </c>
      <c r="D1" s="102" t="s">
        <v>252</v>
      </c>
      <c r="E1" s="102" t="s">
        <v>259</v>
      </c>
      <c r="F1" s="102" t="s">
        <v>277</v>
      </c>
      <c r="G1" s="102" t="s">
        <v>278</v>
      </c>
      <c r="H1" s="102" t="s">
        <v>260</v>
      </c>
      <c r="I1" s="102" t="s">
        <v>261</v>
      </c>
      <c r="J1" s="102" t="s">
        <v>262</v>
      </c>
      <c r="K1" s="102" t="s">
        <v>263</v>
      </c>
      <c r="L1" s="102" t="s">
        <v>264</v>
      </c>
      <c r="M1" s="102" t="s">
        <v>265</v>
      </c>
      <c r="N1" s="102" t="s">
        <v>266</v>
      </c>
      <c r="O1" s="102" t="s">
        <v>267</v>
      </c>
      <c r="P1" s="102" t="s">
        <v>268</v>
      </c>
      <c r="Q1" s="102" t="s">
        <v>281</v>
      </c>
      <c r="R1" s="102" t="s">
        <v>269</v>
      </c>
      <c r="S1" s="102" t="s">
        <v>270</v>
      </c>
      <c r="T1" s="102" t="s">
        <v>271</v>
      </c>
      <c r="U1" s="102" t="s">
        <v>272</v>
      </c>
      <c r="V1" s="102" t="s">
        <v>273</v>
      </c>
      <c r="W1" s="102" t="s">
        <v>255</v>
      </c>
      <c r="X1" s="102" t="s">
        <v>256</v>
      </c>
      <c r="Y1" s="102" t="s">
        <v>257</v>
      </c>
      <c r="Z1" s="102" t="s">
        <v>258</v>
      </c>
    </row>
    <row r="2" spans="1:35" s="102" customFormat="1">
      <c r="A2" s="102" t="s">
        <v>413</v>
      </c>
      <c r="Z2" s="103"/>
      <c r="AA2" s="104"/>
      <c r="AB2" s="104"/>
      <c r="AC2" s="104"/>
      <c r="AD2" s="104"/>
      <c r="AE2" s="104"/>
      <c r="AF2" s="104"/>
      <c r="AG2" s="104"/>
      <c r="AH2" s="104"/>
      <c r="AI2" s="105"/>
    </row>
    <row r="3" spans="1:35" s="55" customFormat="1" ht="16">
      <c r="A3" s="168" t="s">
        <v>1</v>
      </c>
      <c r="B3" s="168"/>
      <c r="C3" s="168"/>
      <c r="D3" s="171" t="s">
        <v>290</v>
      </c>
      <c r="E3" s="171"/>
      <c r="F3" s="171"/>
      <c r="G3" s="171"/>
      <c r="H3" s="171"/>
      <c r="I3" s="171"/>
      <c r="J3" s="170" t="s">
        <v>143</v>
      </c>
      <c r="K3" s="170"/>
      <c r="L3" s="170"/>
      <c r="M3" s="170"/>
      <c r="N3" s="170"/>
      <c r="O3" s="170"/>
      <c r="P3" s="170"/>
      <c r="Q3" s="170"/>
      <c r="R3" s="170"/>
      <c r="S3" s="170"/>
      <c r="T3" s="170"/>
      <c r="U3" s="170"/>
      <c r="V3" s="170"/>
      <c r="W3" s="170"/>
      <c r="X3" s="169" t="s">
        <v>26</v>
      </c>
      <c r="Y3" s="169"/>
      <c r="Z3" s="164" t="s">
        <v>34</v>
      </c>
      <c r="AA3" s="165"/>
      <c r="AB3" s="165"/>
      <c r="AC3" s="165"/>
      <c r="AD3" s="165"/>
      <c r="AE3" s="165"/>
      <c r="AF3" s="165"/>
      <c r="AG3" s="165"/>
      <c r="AH3" s="165"/>
      <c r="AI3" s="166"/>
    </row>
    <row r="4" spans="1:35" s="56" customFormat="1" ht="54.75" customHeight="1">
      <c r="A4" s="59" t="s">
        <v>204</v>
      </c>
      <c r="B4" s="59" t="s">
        <v>136</v>
      </c>
      <c r="C4" s="59" t="s">
        <v>203</v>
      </c>
      <c r="D4" s="60" t="s">
        <v>276</v>
      </c>
      <c r="E4" s="61" t="s">
        <v>275</v>
      </c>
      <c r="F4" s="61" t="s">
        <v>282</v>
      </c>
      <c r="G4" s="61" t="s">
        <v>336</v>
      </c>
      <c r="H4" s="60" t="s">
        <v>284</v>
      </c>
      <c r="I4" s="60" t="s">
        <v>285</v>
      </c>
      <c r="J4" s="62" t="s">
        <v>137</v>
      </c>
      <c r="K4" s="62" t="s">
        <v>138</v>
      </c>
      <c r="L4" s="62" t="s">
        <v>139</v>
      </c>
      <c r="M4" s="62" t="s">
        <v>219</v>
      </c>
      <c r="N4" s="62" t="s">
        <v>20</v>
      </c>
      <c r="O4" s="62" t="s">
        <v>21</v>
      </c>
      <c r="P4" s="62" t="s">
        <v>30</v>
      </c>
      <c r="Q4" s="62" t="s">
        <v>280</v>
      </c>
      <c r="R4" s="62" t="s">
        <v>28</v>
      </c>
      <c r="S4" s="62" t="s">
        <v>29</v>
      </c>
      <c r="T4" s="62" t="s">
        <v>33</v>
      </c>
      <c r="U4" s="62" t="s">
        <v>134</v>
      </c>
      <c r="V4" s="62" t="s">
        <v>140</v>
      </c>
      <c r="W4" s="62" t="s">
        <v>286</v>
      </c>
      <c r="X4" s="63" t="s">
        <v>24</v>
      </c>
      <c r="Y4" s="63" t="s">
        <v>3</v>
      </c>
    </row>
    <row r="5" spans="1:35" s="57" customFormat="1" ht="15">
      <c r="A5" s="167"/>
      <c r="B5" s="167"/>
      <c r="C5" s="167"/>
      <c r="D5" s="64" t="s">
        <v>10</v>
      </c>
      <c r="E5" s="64"/>
      <c r="F5" s="64"/>
      <c r="G5" s="64"/>
      <c r="H5" s="64"/>
      <c r="I5" s="64"/>
      <c r="J5" s="64"/>
      <c r="K5" s="64"/>
      <c r="L5" s="64"/>
      <c r="M5" s="64"/>
      <c r="N5" s="64"/>
      <c r="O5" s="64"/>
      <c r="P5" s="64"/>
      <c r="Q5" s="64"/>
      <c r="R5" s="64"/>
      <c r="S5" s="64"/>
      <c r="T5" s="64"/>
      <c r="U5" s="64"/>
      <c r="V5" s="64"/>
      <c r="W5" s="64"/>
      <c r="X5" s="64"/>
      <c r="Y5" s="64"/>
    </row>
    <row r="6" spans="1:35" s="57" customFormat="1" ht="15">
      <c r="A6" s="167"/>
      <c r="B6" s="167"/>
      <c r="C6" s="167"/>
      <c r="D6" s="64" t="s">
        <v>11</v>
      </c>
      <c r="E6" s="64"/>
      <c r="F6" s="64"/>
      <c r="G6" s="64"/>
      <c r="H6" s="64"/>
      <c r="I6" s="64"/>
      <c r="J6" s="64"/>
      <c r="K6" s="64"/>
      <c r="L6" s="64"/>
      <c r="M6" s="64"/>
      <c r="N6" s="64"/>
      <c r="O6" s="64"/>
      <c r="P6" s="64"/>
      <c r="Q6" s="64"/>
      <c r="R6" s="64"/>
      <c r="S6" s="64"/>
      <c r="T6" s="64"/>
      <c r="U6" s="64"/>
      <c r="V6" s="64"/>
      <c r="W6" s="64"/>
      <c r="X6" s="64"/>
      <c r="Y6" s="64"/>
    </row>
  </sheetData>
  <sheetProtection sheet="1" formatCells="0" insertRows="0" deleteRows="0"/>
  <mergeCells count="7">
    <mergeCell ref="Z3:AI3"/>
    <mergeCell ref="A5:C5"/>
    <mergeCell ref="A6:C6"/>
    <mergeCell ref="A3:C3"/>
    <mergeCell ref="X3:Y3"/>
    <mergeCell ref="J3:W3"/>
    <mergeCell ref="D3:I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4463-3FB2-EA4F-95C6-A47D4B530E56}">
  <dimension ref="A1:F29"/>
  <sheetViews>
    <sheetView topLeftCell="E1" zoomScale="90" zoomScaleNormal="90" workbookViewId="0">
      <pane ySplit="3" topLeftCell="A4" activePane="bottomLeft" state="frozen"/>
      <selection pane="bottomLeft" activeCell="F5" sqref="F5"/>
    </sheetView>
  </sheetViews>
  <sheetFormatPr baseColWidth="10" defaultColWidth="9.1640625" defaultRowHeight="15"/>
  <cols>
    <col min="1" max="1" width="23" style="3" customWidth="1"/>
    <col min="2" max="2" width="27.1640625" style="2" bestFit="1" customWidth="1"/>
    <col min="3" max="3" width="19" style="2" customWidth="1"/>
    <col min="4" max="5" width="85" style="3" customWidth="1"/>
    <col min="6" max="6" width="39.1640625" style="3" customWidth="1"/>
    <col min="7" max="16384" width="9.1640625" style="2"/>
  </cols>
  <sheetData>
    <row r="1" spans="1:6" ht="15" customHeight="1">
      <c r="A1" s="176" t="s">
        <v>391</v>
      </c>
      <c r="B1" s="178" t="s">
        <v>392</v>
      </c>
      <c r="C1" s="179"/>
      <c r="D1" s="180"/>
    </row>
    <row r="2" spans="1:6" ht="106.5" customHeight="1" thickBot="1">
      <c r="A2" s="177"/>
      <c r="B2" s="181"/>
      <c r="C2" s="181"/>
      <c r="D2" s="182"/>
    </row>
    <row r="3" spans="1:6" ht="66">
      <c r="A3" s="124" t="s">
        <v>22</v>
      </c>
      <c r="B3" s="125" t="s">
        <v>23</v>
      </c>
      <c r="C3" s="124" t="s">
        <v>211</v>
      </c>
      <c r="D3" s="124" t="s">
        <v>378</v>
      </c>
      <c r="E3" s="119" t="s">
        <v>377</v>
      </c>
      <c r="F3" s="119" t="s">
        <v>379</v>
      </c>
    </row>
    <row r="4" spans="1:6" ht="96">
      <c r="A4" s="173" t="s">
        <v>1</v>
      </c>
      <c r="B4" s="1" t="s">
        <v>209</v>
      </c>
      <c r="C4" s="1" t="s">
        <v>0</v>
      </c>
      <c r="D4" s="120" t="s">
        <v>375</v>
      </c>
      <c r="E4" s="120" t="s">
        <v>383</v>
      </c>
      <c r="F4" s="1" t="s">
        <v>339</v>
      </c>
    </row>
    <row r="5" spans="1:6" ht="112">
      <c r="A5" s="173"/>
      <c r="B5" s="1" t="s">
        <v>135</v>
      </c>
      <c r="C5" s="1" t="s">
        <v>145</v>
      </c>
      <c r="D5" s="120" t="s">
        <v>369</v>
      </c>
      <c r="E5" s="120" t="s">
        <v>368</v>
      </c>
      <c r="F5" s="1" t="s">
        <v>340</v>
      </c>
    </row>
    <row r="6" spans="1:6" ht="208">
      <c r="A6" s="173"/>
      <c r="B6" s="1" t="s">
        <v>210</v>
      </c>
      <c r="C6" s="1" t="s">
        <v>0</v>
      </c>
      <c r="D6" s="120" t="s">
        <v>346</v>
      </c>
      <c r="E6" s="120" t="s">
        <v>370</v>
      </c>
      <c r="F6" s="1" t="s">
        <v>340</v>
      </c>
    </row>
    <row r="7" spans="1:6" ht="138" customHeight="1">
      <c r="A7" s="174" t="s">
        <v>5</v>
      </c>
      <c r="B7" s="1" t="s">
        <v>287</v>
      </c>
      <c r="C7" s="1" t="s">
        <v>0</v>
      </c>
      <c r="D7" s="120" t="s">
        <v>384</v>
      </c>
      <c r="E7" s="120" t="s">
        <v>349</v>
      </c>
      <c r="F7" s="1" t="s">
        <v>341</v>
      </c>
    </row>
    <row r="8" spans="1:6" ht="80">
      <c r="A8" s="174"/>
      <c r="B8" s="1" t="s">
        <v>288</v>
      </c>
      <c r="C8" s="1" t="s">
        <v>0</v>
      </c>
      <c r="D8" s="120" t="s">
        <v>337</v>
      </c>
      <c r="E8" s="120" t="s">
        <v>347</v>
      </c>
      <c r="F8" s="1" t="s">
        <v>289</v>
      </c>
    </row>
    <row r="9" spans="1:6" ht="48">
      <c r="A9" s="174"/>
      <c r="B9" s="1" t="s">
        <v>279</v>
      </c>
      <c r="C9" s="1" t="s">
        <v>0</v>
      </c>
      <c r="D9" s="120" t="s">
        <v>348</v>
      </c>
      <c r="E9" s="120" t="s">
        <v>385</v>
      </c>
      <c r="F9" s="1" t="s">
        <v>386</v>
      </c>
    </row>
    <row r="10" spans="1:6" ht="32">
      <c r="A10" s="174"/>
      <c r="B10" s="1" t="s">
        <v>274</v>
      </c>
      <c r="C10" s="1" t="s">
        <v>0</v>
      </c>
      <c r="D10" s="120" t="s">
        <v>338</v>
      </c>
      <c r="E10" s="120" t="s">
        <v>338</v>
      </c>
      <c r="F10" s="1" t="s">
        <v>341</v>
      </c>
    </row>
    <row r="11" spans="1:6" ht="80">
      <c r="A11" s="174"/>
      <c r="B11" s="1" t="s">
        <v>6</v>
      </c>
      <c r="C11" s="1" t="s">
        <v>146</v>
      </c>
      <c r="D11" s="120" t="s">
        <v>366</v>
      </c>
      <c r="E11" s="120" t="s">
        <v>365</v>
      </c>
      <c r="F11" s="1" t="s">
        <v>387</v>
      </c>
    </row>
    <row r="12" spans="1:6" ht="32">
      <c r="A12" s="174"/>
      <c r="B12" s="1" t="s">
        <v>4</v>
      </c>
      <c r="C12" s="1" t="s">
        <v>145</v>
      </c>
      <c r="D12" s="120" t="s">
        <v>198</v>
      </c>
      <c r="E12" s="120" t="s">
        <v>198</v>
      </c>
      <c r="F12" s="1"/>
    </row>
    <row r="13" spans="1:6" ht="48">
      <c r="A13" s="175" t="s">
        <v>144</v>
      </c>
      <c r="B13" s="1" t="s">
        <v>2</v>
      </c>
      <c r="C13" s="1" t="s">
        <v>0</v>
      </c>
      <c r="D13" s="120" t="s">
        <v>350</v>
      </c>
      <c r="E13" s="120" t="s">
        <v>351</v>
      </c>
      <c r="F13" s="1"/>
    </row>
    <row r="14" spans="1:6" ht="144">
      <c r="A14" s="175"/>
      <c r="B14" s="1" t="s">
        <v>27</v>
      </c>
      <c r="C14" s="1" t="s">
        <v>0</v>
      </c>
      <c r="D14" s="120" t="s">
        <v>352</v>
      </c>
      <c r="E14" s="120" t="s">
        <v>388</v>
      </c>
      <c r="F14" s="1" t="s">
        <v>358</v>
      </c>
    </row>
    <row r="15" spans="1:6" ht="32">
      <c r="A15" s="175"/>
      <c r="B15" s="1" t="s">
        <v>35</v>
      </c>
      <c r="C15" s="1" t="s">
        <v>145</v>
      </c>
      <c r="D15" s="120" t="s">
        <v>222</v>
      </c>
      <c r="E15" s="120" t="s">
        <v>222</v>
      </c>
      <c r="F15" s="1"/>
    </row>
    <row r="16" spans="1:6" ht="64">
      <c r="A16" s="175"/>
      <c r="B16" s="1" t="s">
        <v>218</v>
      </c>
      <c r="C16" s="1" t="s">
        <v>147</v>
      </c>
      <c r="D16" s="120" t="s">
        <v>342</v>
      </c>
      <c r="E16" s="120" t="s">
        <v>360</v>
      </c>
      <c r="F16" s="1" t="s">
        <v>343</v>
      </c>
    </row>
    <row r="17" spans="1:6" ht="48">
      <c r="A17" s="175"/>
      <c r="B17" s="1" t="s">
        <v>20</v>
      </c>
      <c r="C17" s="1" t="s">
        <v>148</v>
      </c>
      <c r="D17" s="120" t="s">
        <v>359</v>
      </c>
      <c r="E17" s="120" t="s">
        <v>361</v>
      </c>
      <c r="F17" s="1"/>
    </row>
    <row r="18" spans="1:6" ht="48">
      <c r="A18" s="175"/>
      <c r="B18" s="1" t="s">
        <v>149</v>
      </c>
      <c r="C18" s="1" t="s">
        <v>145</v>
      </c>
      <c r="D18" s="120" t="s">
        <v>217</v>
      </c>
      <c r="E18" s="120" t="s">
        <v>362</v>
      </c>
      <c r="F18" s="1"/>
    </row>
    <row r="19" spans="1:6" ht="80">
      <c r="A19" s="175"/>
      <c r="B19" s="38" t="s">
        <v>214</v>
      </c>
      <c r="C19" s="38" t="s">
        <v>212</v>
      </c>
      <c r="D19" s="121" t="s">
        <v>216</v>
      </c>
      <c r="E19" s="121" t="s">
        <v>363</v>
      </c>
      <c r="F19" s="1"/>
    </row>
    <row r="20" spans="1:6" ht="16">
      <c r="A20" s="175"/>
      <c r="B20" s="38" t="s">
        <v>353</v>
      </c>
      <c r="C20" s="38" t="s">
        <v>354</v>
      </c>
      <c r="D20" s="121" t="s">
        <v>355</v>
      </c>
      <c r="E20" s="121" t="s">
        <v>356</v>
      </c>
      <c r="F20" s="1" t="s">
        <v>357</v>
      </c>
    </row>
    <row r="21" spans="1:6" ht="64">
      <c r="A21" s="175"/>
      <c r="B21" s="38" t="s">
        <v>28</v>
      </c>
      <c r="C21" s="38" t="s">
        <v>148</v>
      </c>
      <c r="D21" s="120" t="s">
        <v>213</v>
      </c>
      <c r="E21" s="120" t="s">
        <v>364</v>
      </c>
      <c r="F21" s="1"/>
    </row>
    <row r="22" spans="1:6" ht="48">
      <c r="A22" s="175"/>
      <c r="B22" s="38" t="s">
        <v>25</v>
      </c>
      <c r="C22" s="38" t="s">
        <v>208</v>
      </c>
      <c r="D22" s="120" t="s">
        <v>207</v>
      </c>
      <c r="E22" s="120" t="s">
        <v>364</v>
      </c>
      <c r="F22" s="1"/>
    </row>
    <row r="23" spans="1:6" ht="48">
      <c r="A23" s="175"/>
      <c r="B23" s="38" t="s">
        <v>33</v>
      </c>
      <c r="C23" s="38" t="s">
        <v>208</v>
      </c>
      <c r="D23" s="120" t="s">
        <v>207</v>
      </c>
      <c r="E23" s="120" t="s">
        <v>364</v>
      </c>
      <c r="F23" s="1"/>
    </row>
    <row r="24" spans="1:6" ht="48">
      <c r="A24" s="175"/>
      <c r="B24" s="38" t="s">
        <v>134</v>
      </c>
      <c r="C24" s="38" t="s">
        <v>208</v>
      </c>
      <c r="D24" s="120" t="s">
        <v>207</v>
      </c>
      <c r="E24" s="120" t="s">
        <v>364</v>
      </c>
      <c r="F24" s="1"/>
    </row>
    <row r="25" spans="1:6" ht="48">
      <c r="A25" s="175"/>
      <c r="B25" s="38" t="s">
        <v>36</v>
      </c>
      <c r="C25" s="38" t="s">
        <v>145</v>
      </c>
      <c r="D25" s="120" t="s">
        <v>215</v>
      </c>
      <c r="E25" s="120" t="s">
        <v>362</v>
      </c>
      <c r="F25" s="1"/>
    </row>
    <row r="26" spans="1:6" ht="48">
      <c r="A26" s="175"/>
      <c r="B26" s="122" t="s">
        <v>37</v>
      </c>
      <c r="C26" s="122" t="s">
        <v>145</v>
      </c>
      <c r="D26" s="120" t="s">
        <v>215</v>
      </c>
      <c r="E26" s="120" t="s">
        <v>362</v>
      </c>
      <c r="F26" s="1"/>
    </row>
    <row r="27" spans="1:6" ht="224">
      <c r="A27" s="172" t="s">
        <v>26</v>
      </c>
      <c r="B27" s="1" t="s">
        <v>24</v>
      </c>
      <c r="C27" s="1" t="s">
        <v>345</v>
      </c>
      <c r="D27" s="120" t="s">
        <v>380</v>
      </c>
      <c r="E27" s="120" t="s">
        <v>381</v>
      </c>
      <c r="F27" s="1" t="s">
        <v>389</v>
      </c>
    </row>
    <row r="28" spans="1:6" ht="208">
      <c r="A28" s="172"/>
      <c r="B28" s="1" t="s">
        <v>3</v>
      </c>
      <c r="C28" s="1" t="s">
        <v>344</v>
      </c>
      <c r="D28" s="120" t="s">
        <v>390</v>
      </c>
      <c r="E28" s="120" t="s">
        <v>382</v>
      </c>
      <c r="F28" s="1" t="s">
        <v>389</v>
      </c>
    </row>
    <row r="29" spans="1:6" ht="64">
      <c r="A29" s="123" t="s">
        <v>34</v>
      </c>
      <c r="B29" s="1" t="s">
        <v>150</v>
      </c>
      <c r="C29" s="122" t="s">
        <v>146</v>
      </c>
      <c r="D29" s="1" t="s">
        <v>196</v>
      </c>
      <c r="E29" s="1" t="s">
        <v>367</v>
      </c>
      <c r="F29" s="1"/>
    </row>
  </sheetData>
  <mergeCells count="6">
    <mergeCell ref="A27:A28"/>
    <mergeCell ref="A4:A6"/>
    <mergeCell ref="A7:A12"/>
    <mergeCell ref="A13:A26"/>
    <mergeCell ref="A1:A2"/>
    <mergeCell ref="B1:D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E4D1-5BB9-4D46-9E8D-92902244DF94}">
  <dimension ref="A1:AL452"/>
  <sheetViews>
    <sheetView zoomScale="115" zoomScaleNormal="115" workbookViewId="0">
      <pane xSplit="6" ySplit="7" topLeftCell="G8" activePane="bottomRight" state="frozen"/>
      <selection pane="topRight" activeCell="G1" sqref="G1"/>
      <selection pane="bottomLeft" activeCell="A8" sqref="A8"/>
      <selection pane="bottomRight" activeCell="E9" sqref="E9"/>
    </sheetView>
  </sheetViews>
  <sheetFormatPr baseColWidth="10" defaultRowHeight="15"/>
  <cols>
    <col min="1" max="1" width="27.1640625" bestFit="1" customWidth="1"/>
    <col min="2" max="2" width="15.83203125" bestFit="1" customWidth="1"/>
    <col min="3" max="3" width="26.1640625" customWidth="1"/>
    <col min="4" max="4" width="20.6640625" customWidth="1"/>
    <col min="5" max="5" width="21.5" customWidth="1"/>
    <col min="6" max="6" width="30.5" bestFit="1" customWidth="1"/>
    <col min="7" max="7" width="17.83203125" customWidth="1"/>
    <col min="8" max="8" width="13.1640625" customWidth="1"/>
    <col min="9" max="9" width="18.5" customWidth="1"/>
    <col min="10" max="10" width="10.6640625" customWidth="1"/>
    <col min="11" max="11" width="18" bestFit="1" customWidth="1"/>
    <col min="12" max="12" width="14.5" style="109" bestFit="1" customWidth="1"/>
    <col min="13" max="14" width="16.5" customWidth="1"/>
    <col min="15" max="15" width="11.5" bestFit="1" customWidth="1"/>
    <col min="16" max="16" width="12.83203125" customWidth="1"/>
    <col min="17" max="17" width="14.33203125" customWidth="1"/>
    <col min="18" max="18" width="13.5" customWidth="1"/>
    <col min="19" max="19" width="14" customWidth="1"/>
    <col min="20" max="20" width="11.5" customWidth="1"/>
    <col min="21" max="21" width="13.83203125" customWidth="1"/>
    <col min="22" max="22" width="11.5" customWidth="1"/>
    <col min="23" max="23" width="12.1640625" customWidth="1"/>
    <col min="24" max="25" width="13" customWidth="1"/>
    <col min="26" max="26" width="23.5" customWidth="1"/>
    <col min="27" max="27" width="29.5" customWidth="1"/>
    <col min="28" max="28" width="14.1640625" bestFit="1" customWidth="1"/>
    <col min="29" max="29" width="11.33203125" customWidth="1"/>
    <col min="30" max="30" width="13.83203125" bestFit="1" customWidth="1"/>
    <col min="31" max="31" width="9.5" bestFit="1" customWidth="1"/>
    <col min="32" max="32" width="10.1640625" customWidth="1"/>
    <col min="33" max="33" width="15" customWidth="1"/>
    <col min="34" max="37" width="17" customWidth="1"/>
    <col min="38" max="38" width="37.5" customWidth="1"/>
    <col min="39" max="256" width="8.83203125" customWidth="1"/>
  </cols>
  <sheetData>
    <row r="1" spans="1:38" s="102" customFormat="1" ht="14">
      <c r="A1" s="102" t="s">
        <v>251</v>
      </c>
      <c r="B1" s="102" t="s">
        <v>253</v>
      </c>
      <c r="C1" s="102" t="s">
        <v>254</v>
      </c>
      <c r="D1" s="140" t="s">
        <v>252</v>
      </c>
      <c r="E1" s="140" t="s">
        <v>259</v>
      </c>
      <c r="F1" s="102" t="s">
        <v>277</v>
      </c>
      <c r="G1" s="102" t="s">
        <v>278</v>
      </c>
      <c r="I1" s="102" t="s">
        <v>260</v>
      </c>
      <c r="K1" s="102" t="s">
        <v>261</v>
      </c>
      <c r="L1" s="106" t="s">
        <v>262</v>
      </c>
      <c r="M1" s="102" t="s">
        <v>263</v>
      </c>
      <c r="N1" s="140" t="s">
        <v>264</v>
      </c>
      <c r="O1" s="140" t="s">
        <v>265</v>
      </c>
      <c r="P1" s="140" t="s">
        <v>266</v>
      </c>
      <c r="Q1" s="140" t="s">
        <v>267</v>
      </c>
      <c r="R1" s="140" t="s">
        <v>268</v>
      </c>
      <c r="S1" s="140" t="s">
        <v>281</v>
      </c>
      <c r="T1" s="140" t="s">
        <v>269</v>
      </c>
      <c r="U1" s="140" t="s">
        <v>270</v>
      </c>
      <c r="V1" s="140" t="s">
        <v>271</v>
      </c>
      <c r="W1" s="140" t="s">
        <v>272</v>
      </c>
      <c r="X1" s="140" t="s">
        <v>273</v>
      </c>
      <c r="Y1" s="140" t="s">
        <v>255</v>
      </c>
      <c r="Z1" s="140" t="s">
        <v>256</v>
      </c>
      <c r="AA1" s="102" t="s">
        <v>257</v>
      </c>
      <c r="AC1" s="102" t="s">
        <v>258</v>
      </c>
    </row>
    <row r="2" spans="1:38" s="102" customFormat="1" ht="14">
      <c r="A2" s="102" t="s">
        <v>413</v>
      </c>
      <c r="L2" s="106"/>
      <c r="AB2" s="103"/>
      <c r="AC2" s="103"/>
      <c r="AD2" s="104"/>
      <c r="AE2" s="104"/>
      <c r="AF2" s="104"/>
      <c r="AG2" s="104"/>
      <c r="AH2" s="104"/>
      <c r="AI2" s="104"/>
      <c r="AJ2" s="104"/>
      <c r="AK2" s="104"/>
      <c r="AL2" s="105"/>
    </row>
    <row r="3" spans="1:38" s="55" customFormat="1" ht="16">
      <c r="A3" s="168" t="s">
        <v>1</v>
      </c>
      <c r="B3" s="168"/>
      <c r="C3" s="168"/>
      <c r="D3" s="171" t="s">
        <v>290</v>
      </c>
      <c r="E3" s="171"/>
      <c r="F3" s="171"/>
      <c r="G3" s="171"/>
      <c r="H3" s="171"/>
      <c r="I3" s="171"/>
      <c r="J3" s="171"/>
      <c r="K3" s="171"/>
      <c r="L3" s="170" t="s">
        <v>143</v>
      </c>
      <c r="M3" s="170"/>
      <c r="N3" s="170"/>
      <c r="O3" s="170"/>
      <c r="P3" s="170"/>
      <c r="Q3" s="170"/>
      <c r="R3" s="170"/>
      <c r="S3" s="170"/>
      <c r="T3" s="170"/>
      <c r="U3" s="170"/>
      <c r="V3" s="170"/>
      <c r="W3" s="170"/>
      <c r="X3" s="170"/>
      <c r="Y3" s="170"/>
      <c r="Z3" s="169" t="s">
        <v>26</v>
      </c>
      <c r="AA3" s="169"/>
      <c r="AB3" s="128" t="s">
        <v>420</v>
      </c>
      <c r="AC3" s="164" t="s">
        <v>34</v>
      </c>
      <c r="AD3" s="165"/>
      <c r="AE3" s="165"/>
      <c r="AF3" s="165"/>
      <c r="AG3" s="165"/>
      <c r="AH3" s="165"/>
      <c r="AI3" s="165"/>
      <c r="AJ3" s="165"/>
      <c r="AK3" s="165"/>
      <c r="AL3" s="166"/>
    </row>
    <row r="4" spans="1:38" s="56" customFormat="1" ht="45">
      <c r="A4" s="59" t="s">
        <v>204</v>
      </c>
      <c r="B4" s="59" t="s">
        <v>136</v>
      </c>
      <c r="C4" s="59" t="s">
        <v>203</v>
      </c>
      <c r="D4" s="60" t="s">
        <v>276</v>
      </c>
      <c r="E4" s="61" t="s">
        <v>275</v>
      </c>
      <c r="F4" s="61" t="s">
        <v>282</v>
      </c>
      <c r="G4" s="61" t="s">
        <v>336</v>
      </c>
      <c r="H4" s="61" t="s">
        <v>414</v>
      </c>
      <c r="I4" s="60" t="s">
        <v>284</v>
      </c>
      <c r="J4" s="60" t="s">
        <v>415</v>
      </c>
      <c r="K4" s="60" t="s">
        <v>285</v>
      </c>
      <c r="L4" s="107" t="s">
        <v>137</v>
      </c>
      <c r="M4" s="62" t="s">
        <v>138</v>
      </c>
      <c r="N4" s="62" t="s">
        <v>139</v>
      </c>
      <c r="O4" s="62" t="s">
        <v>219</v>
      </c>
      <c r="P4" s="62" t="s">
        <v>20</v>
      </c>
      <c r="Q4" s="62" t="s">
        <v>21</v>
      </c>
      <c r="R4" s="62" t="s">
        <v>30</v>
      </c>
      <c r="S4" s="62" t="s">
        <v>280</v>
      </c>
      <c r="T4" s="62" t="s">
        <v>28</v>
      </c>
      <c r="U4" s="62" t="s">
        <v>29</v>
      </c>
      <c r="V4" s="62" t="s">
        <v>33</v>
      </c>
      <c r="W4" s="62" t="s">
        <v>134</v>
      </c>
      <c r="X4" s="62" t="s">
        <v>140</v>
      </c>
      <c r="Y4" s="62" t="s">
        <v>286</v>
      </c>
      <c r="Z4" s="63" t="s">
        <v>412</v>
      </c>
      <c r="AA4" s="63" t="s">
        <v>411</v>
      </c>
      <c r="AB4" s="129" t="s">
        <v>421</v>
      </c>
      <c r="AC4" s="26" t="s">
        <v>417</v>
      </c>
      <c r="AD4" s="26" t="s">
        <v>418</v>
      </c>
      <c r="AE4" s="26" t="s">
        <v>419</v>
      </c>
      <c r="AF4" s="26" t="s">
        <v>17</v>
      </c>
      <c r="AG4" s="26" t="s">
        <v>18</v>
      </c>
      <c r="AH4" s="26" t="s">
        <v>15</v>
      </c>
      <c r="AI4" s="26" t="s">
        <v>16</v>
      </c>
      <c r="AJ4" s="26" t="s">
        <v>416</v>
      </c>
      <c r="AK4" s="26" t="s">
        <v>19</v>
      </c>
      <c r="AL4" s="56" t="s">
        <v>422</v>
      </c>
    </row>
    <row r="5" spans="1:38" s="57" customFormat="1">
      <c r="A5" s="167"/>
      <c r="B5" s="167"/>
      <c r="C5" s="167"/>
      <c r="D5" s="64" t="s">
        <v>10</v>
      </c>
      <c r="E5" s="64"/>
      <c r="F5" s="64"/>
      <c r="G5" s="64"/>
      <c r="H5" s="64"/>
      <c r="I5" s="64"/>
      <c r="J5" s="64"/>
      <c r="K5" s="64"/>
      <c r="L5" s="108"/>
      <c r="M5" s="64"/>
      <c r="N5" s="64"/>
      <c r="O5" s="64"/>
      <c r="P5" s="64"/>
      <c r="Q5" s="64"/>
      <c r="R5" s="64"/>
      <c r="S5" s="64"/>
      <c r="T5" s="64"/>
      <c r="U5" s="64"/>
      <c r="V5" s="64"/>
      <c r="W5" s="64"/>
      <c r="X5" s="64"/>
      <c r="Y5" s="64"/>
      <c r="Z5" s="64"/>
      <c r="AA5" s="64"/>
      <c r="AB5" s="126"/>
      <c r="AC5" s="27"/>
      <c r="AD5" s="27"/>
      <c r="AE5" s="27"/>
      <c r="AF5" s="27" t="s">
        <v>7</v>
      </c>
      <c r="AG5" s="27" t="s">
        <v>9</v>
      </c>
      <c r="AH5" s="27" t="s">
        <v>12</v>
      </c>
      <c r="AI5" s="27" t="s">
        <v>13</v>
      </c>
      <c r="AJ5" s="27"/>
      <c r="AK5" s="27" t="s">
        <v>14</v>
      </c>
    </row>
    <row r="6" spans="1:38" s="57" customFormat="1" ht="30">
      <c r="A6" s="186"/>
      <c r="B6" s="187"/>
      <c r="C6" s="188"/>
      <c r="D6" s="64" t="s">
        <v>11</v>
      </c>
      <c r="E6" s="64"/>
      <c r="F6" s="64"/>
      <c r="G6" s="64"/>
      <c r="H6" s="64"/>
      <c r="I6" s="64"/>
      <c r="J6" s="64"/>
      <c r="K6" s="64"/>
      <c r="L6" s="108"/>
      <c r="M6" s="64"/>
      <c r="N6" s="64"/>
      <c r="O6" s="64"/>
      <c r="P6" s="64"/>
      <c r="Q6" s="64"/>
      <c r="R6" s="64"/>
      <c r="S6" s="64"/>
      <c r="T6" s="64"/>
      <c r="U6" s="64"/>
      <c r="V6" s="64"/>
      <c r="W6" s="64"/>
      <c r="X6" s="64"/>
      <c r="Y6" s="64"/>
      <c r="Z6" s="64"/>
      <c r="AA6" s="64"/>
      <c r="AB6" s="127"/>
      <c r="AC6" s="28"/>
      <c r="AD6" s="28"/>
      <c r="AE6" s="28"/>
      <c r="AF6" s="28" t="s">
        <v>8</v>
      </c>
      <c r="AG6" s="28" t="s">
        <v>8</v>
      </c>
      <c r="AH6" s="28" t="s">
        <v>8</v>
      </c>
      <c r="AI6" s="28" t="s">
        <v>8</v>
      </c>
      <c r="AJ6" s="28" t="s">
        <v>8</v>
      </c>
      <c r="AK6" s="28" t="s">
        <v>8</v>
      </c>
    </row>
    <row r="7" spans="1:38" ht="136.5" customHeight="1">
      <c r="A7" s="183" t="s">
        <v>466</v>
      </c>
      <c r="B7" s="184"/>
      <c r="C7" s="184"/>
      <c r="D7" s="184"/>
      <c r="E7" s="185" t="s">
        <v>465</v>
      </c>
      <c r="F7" s="185"/>
      <c r="G7" s="149"/>
      <c r="H7" s="148"/>
      <c r="I7" s="148"/>
      <c r="J7" s="148"/>
      <c r="K7" s="148"/>
      <c r="L7" s="148"/>
      <c r="M7" s="148"/>
    </row>
    <row r="8" spans="1:38" s="115" customFormat="1" ht="14">
      <c r="A8" s="130" t="s">
        <v>435</v>
      </c>
      <c r="B8" s="116"/>
      <c r="C8" s="43"/>
      <c r="D8" s="41"/>
      <c r="E8" s="41"/>
      <c r="G8" s="41" t="s">
        <v>464</v>
      </c>
      <c r="H8" s="41"/>
      <c r="K8" s="41"/>
      <c r="L8" s="111"/>
      <c r="M8" s="41"/>
      <c r="N8" s="41"/>
      <c r="O8" s="116"/>
      <c r="Z8" s="41"/>
      <c r="AA8" s="41"/>
      <c r="AB8" s="41"/>
      <c r="AC8" s="39"/>
      <c r="AD8" s="39"/>
      <c r="AE8" s="39"/>
      <c r="AF8" s="39"/>
      <c r="AG8" s="39"/>
    </row>
    <row r="9" spans="1:38" s="115" customFormat="1" ht="14">
      <c r="A9" s="133" t="s">
        <v>439</v>
      </c>
      <c r="B9" s="116"/>
      <c r="C9" s="135" t="s">
        <v>440</v>
      </c>
      <c r="D9" s="133" t="str">
        <f>_xlfn.CONCAT("MRs-",G9)</f>
        <v>MRs-HWS</v>
      </c>
      <c r="E9" s="133" t="str">
        <f>_xlfn.CONCAT(RIGHT(L9,2),RIGHT(M9,1),MID(K9,4,2),"0",RIGHT(R9,2))</f>
        <v>031CG004</v>
      </c>
      <c r="F9" s="136" t="str">
        <f>_xlfn.CONCAT(D9," - ",C9,IF(ISBLANK(B9),"",_xlfn.CONCAT(" Rm ",B9)))</f>
        <v>MRs-HWS - MillRd</v>
      </c>
      <c r="G9" s="133" t="s">
        <v>442</v>
      </c>
      <c r="H9" s="133" t="s">
        <v>444</v>
      </c>
      <c r="I9" s="136"/>
      <c r="J9" s="136" t="s">
        <v>447</v>
      </c>
      <c r="K9" s="133" t="s">
        <v>449</v>
      </c>
      <c r="L9" s="137" t="s">
        <v>430</v>
      </c>
      <c r="M9" s="133" t="s">
        <v>431</v>
      </c>
      <c r="N9" s="133"/>
      <c r="O9" s="134">
        <v>4</v>
      </c>
      <c r="P9" s="136"/>
      <c r="Q9" s="136"/>
      <c r="R9" s="136">
        <f>1003100+O9</f>
        <v>1003104</v>
      </c>
      <c r="S9" s="136"/>
      <c r="T9" s="136"/>
      <c r="U9" s="136"/>
      <c r="V9" s="136"/>
      <c r="W9" s="136"/>
      <c r="X9" s="136"/>
      <c r="Y9" s="136"/>
      <c r="Z9" s="133"/>
      <c r="AA9" s="133"/>
      <c r="AB9" s="133"/>
      <c r="AC9" s="39"/>
      <c r="AD9" s="39"/>
      <c r="AE9" s="39"/>
      <c r="AF9" s="39"/>
      <c r="AG9" s="39"/>
    </row>
    <row r="10" spans="1:38" s="115" customFormat="1" ht="14">
      <c r="A10" s="130" t="s">
        <v>436</v>
      </c>
      <c r="B10" s="116"/>
      <c r="C10" s="43"/>
      <c r="D10" s="41"/>
      <c r="E10" s="41"/>
      <c r="G10" s="41"/>
      <c r="H10" s="41"/>
      <c r="K10" s="41"/>
      <c r="L10" s="111"/>
      <c r="M10" s="41"/>
      <c r="N10" s="41"/>
      <c r="O10" s="116"/>
      <c r="Z10" s="41"/>
      <c r="AA10" s="41"/>
      <c r="AB10" s="41"/>
      <c r="AC10" s="39"/>
      <c r="AD10" s="39"/>
      <c r="AE10" s="39"/>
      <c r="AF10" s="39"/>
      <c r="AG10" s="39"/>
    </row>
    <row r="11" spans="1:38" s="115" customFormat="1" ht="14">
      <c r="A11" s="133" t="s">
        <v>441</v>
      </c>
      <c r="B11" s="116"/>
      <c r="C11" s="135" t="s">
        <v>157</v>
      </c>
      <c r="D11" s="41" t="str">
        <f>_xlfn.CONCAT("MR-",G11)</f>
        <v>MR-AHU-1</v>
      </c>
      <c r="E11" s="41" t="str">
        <f>_xlfn.CONCAT(RIGHT(L11,2),RIGHT(M11,1),MID(K11,4,2),"0",RIGHT(R11,2))</f>
        <v>031CG005</v>
      </c>
      <c r="F11" s="115" t="str">
        <f>_xlfn.CONCAT(D11," - ",C11,IF(ISBLANK(B11),"",_xlfn.CONCAT(" Rm ",B11)))</f>
        <v>MR-AHU-1 - Floor 1</v>
      </c>
      <c r="G11" s="41" t="s">
        <v>443</v>
      </c>
      <c r="H11" s="41" t="s">
        <v>445</v>
      </c>
      <c r="I11" s="115" t="s">
        <v>446</v>
      </c>
      <c r="J11" s="115" t="s">
        <v>448</v>
      </c>
      <c r="K11" s="41" t="s">
        <v>450</v>
      </c>
      <c r="L11" s="111" t="s">
        <v>430</v>
      </c>
      <c r="M11" s="41" t="s">
        <v>431</v>
      </c>
      <c r="N11" s="41"/>
      <c r="O11" s="116">
        <v>5</v>
      </c>
      <c r="R11" s="115">
        <f>1003100+O11</f>
        <v>1003105</v>
      </c>
      <c r="Z11" s="41"/>
      <c r="AA11" s="41"/>
      <c r="AB11" s="41"/>
      <c r="AC11" s="39"/>
      <c r="AD11" s="39"/>
      <c r="AE11" s="39"/>
      <c r="AF11" s="39"/>
      <c r="AG11" s="39"/>
    </row>
    <row r="12" spans="1:38" s="115" customFormat="1" ht="14">
      <c r="A12" s="130" t="s">
        <v>437</v>
      </c>
      <c r="B12" s="116"/>
      <c r="C12" s="43"/>
      <c r="D12" s="41"/>
      <c r="E12" s="41"/>
      <c r="G12" s="41"/>
      <c r="H12" s="41"/>
      <c r="K12" s="41"/>
      <c r="L12" s="111"/>
      <c r="M12" s="41"/>
      <c r="N12" s="41"/>
      <c r="O12" s="116"/>
      <c r="Z12" s="41"/>
      <c r="AA12" s="41"/>
      <c r="AB12" s="41"/>
      <c r="AC12" s="39"/>
      <c r="AD12" s="39"/>
      <c r="AE12" s="39"/>
      <c r="AF12" s="39"/>
      <c r="AG12" s="39"/>
    </row>
    <row r="13" spans="1:38" s="115" customFormat="1" ht="14">
      <c r="A13" s="133" t="s">
        <v>423</v>
      </c>
      <c r="B13" s="134" t="s">
        <v>424</v>
      </c>
      <c r="C13" s="135" t="s">
        <v>425</v>
      </c>
      <c r="D13" s="41" t="str">
        <f>_xlfn.CONCAT("MR-",G13)</f>
        <v>MR-VAV-1</v>
      </c>
      <c r="E13" s="41" t="str">
        <f>_xlfn.CONCAT(RIGHT(L13,2),RIGHT(M13,1),MID(K13,4,2),"0",RIGHT(R13,2))</f>
        <v>031CV006</v>
      </c>
      <c r="F13" s="115" t="str">
        <f>_xlfn.CONCAT(D13," - ",C13,IF(ISBLANK(B13),"",_xlfn.CONCAT(" Rm ",B13)))</f>
        <v>MR-VAV-1 - Public Vestibule Rm 150A</v>
      </c>
      <c r="G13" s="41" t="s">
        <v>426</v>
      </c>
      <c r="H13" s="41" t="s">
        <v>445</v>
      </c>
      <c r="I13" s="115" t="s">
        <v>427</v>
      </c>
      <c r="J13" s="115" t="s">
        <v>428</v>
      </c>
      <c r="K13" s="41" t="s">
        <v>429</v>
      </c>
      <c r="L13" s="111" t="s">
        <v>430</v>
      </c>
      <c r="M13" s="41" t="s">
        <v>431</v>
      </c>
      <c r="N13" s="41"/>
      <c r="O13" s="116">
        <v>6</v>
      </c>
      <c r="R13" s="115">
        <f>1003100+O13</f>
        <v>1003106</v>
      </c>
      <c r="Z13" s="41" t="s">
        <v>432</v>
      </c>
      <c r="AA13" s="41" t="s">
        <v>433</v>
      </c>
      <c r="AB13" s="41" t="s">
        <v>434</v>
      </c>
      <c r="AC13" s="138" t="b">
        <f>IF(AND(NOT(ISBLANK(AA13)),NOT(EXACT(AA13,"VAV-CLG"))),TRUE,FALSE)</f>
        <v>1</v>
      </c>
      <c r="AD13" s="138" t="b">
        <f>IF(EXACT(AA13,"VAV-RAD"),TRUE,FALSE)</f>
        <v>0</v>
      </c>
      <c r="AE13" s="138">
        <v>4</v>
      </c>
      <c r="AF13" s="147">
        <f>VLOOKUP($AE13,Manufacturer!$B$2:$E$22,3)</f>
        <v>0.09</v>
      </c>
      <c r="AG13" s="147">
        <f>VLOOKUP($AE13,Manufacturer!$B$2:$E$22,4)</f>
        <v>1.63</v>
      </c>
      <c r="AH13" s="136">
        <v>100</v>
      </c>
      <c r="AI13" s="136">
        <v>100</v>
      </c>
      <c r="AJ13" s="139">
        <v>100</v>
      </c>
      <c r="AK13" s="136">
        <v>100</v>
      </c>
    </row>
    <row r="14" spans="1:38" s="115" customFormat="1" ht="14">
      <c r="A14" s="41" t="s">
        <v>423</v>
      </c>
      <c r="B14" s="116" t="s">
        <v>424</v>
      </c>
      <c r="C14" s="43" t="s">
        <v>425</v>
      </c>
      <c r="D14" s="41" t="str">
        <f>_xlfn.CONCAT("MR-",G14)</f>
        <v>MR-VAV-1</v>
      </c>
      <c r="E14" s="41" t="str">
        <f>_xlfn.CONCAT(RIGHT(L14,2),RIGHT(M14,1),MID(K14,4,2),"0",RIGHT(R14,2))</f>
        <v>031CV007</v>
      </c>
      <c r="F14" s="115" t="str">
        <f>_xlfn.CONCAT(D14," - ",C14,IF(ISBLANK(B14),"",_xlfn.CONCAT(" Rm ",B14)))</f>
        <v>MR-VAV-1 - Public Vestibule Rm 150A</v>
      </c>
      <c r="G14" s="41" t="s">
        <v>426</v>
      </c>
      <c r="H14" s="41" t="s">
        <v>445</v>
      </c>
      <c r="I14" s="115" t="s">
        <v>427</v>
      </c>
      <c r="J14" s="115" t="s">
        <v>428</v>
      </c>
      <c r="K14" s="41" t="s">
        <v>429</v>
      </c>
      <c r="L14" s="111" t="s">
        <v>430</v>
      </c>
      <c r="M14" s="41" t="s">
        <v>431</v>
      </c>
      <c r="N14" s="41"/>
      <c r="O14" s="116">
        <v>7</v>
      </c>
      <c r="R14" s="115">
        <f>1003100+O14</f>
        <v>1003107</v>
      </c>
      <c r="Z14" s="41" t="s">
        <v>432</v>
      </c>
      <c r="AA14" s="41" t="s">
        <v>451</v>
      </c>
      <c r="AB14" s="41" t="s">
        <v>434</v>
      </c>
      <c r="AC14" s="39" t="b">
        <f>IF(AND(NOT(ISBLANK(AA14)),NOT(EXACT(AA14,"VAV-CLG"))),TRUE,FALSE)</f>
        <v>0</v>
      </c>
      <c r="AD14" s="39" t="b">
        <f>IF(EXACT(AA14,"VAV-RAD"),TRUE,FALSE)</f>
        <v>0</v>
      </c>
      <c r="AE14" s="39">
        <v>8</v>
      </c>
      <c r="AF14" s="131">
        <f>VLOOKUP($AE14,Manufacturer!$B$2:$E$22,3)</f>
        <v>0.35</v>
      </c>
      <c r="AG14" s="131">
        <f>VLOOKUP($AE14,Manufacturer!$B$2:$E$22,4)</f>
        <v>2.39</v>
      </c>
      <c r="AH14" s="115">
        <v>525</v>
      </c>
      <c r="AI14" s="115">
        <v>525</v>
      </c>
      <c r="AJ14" s="132" t="s">
        <v>453</v>
      </c>
    </row>
    <row r="15" spans="1:38" s="115" customFormat="1" ht="14">
      <c r="A15" s="41" t="s">
        <v>423</v>
      </c>
      <c r="B15" s="116" t="s">
        <v>424</v>
      </c>
      <c r="C15" s="43" t="s">
        <v>425</v>
      </c>
      <c r="D15" s="41" t="str">
        <f>_xlfn.CONCAT("MR-",G15)</f>
        <v>MR-VAV-1</v>
      </c>
      <c r="E15" s="41" t="str">
        <f>_xlfn.CONCAT(RIGHT(L15,2),RIGHT(M15,1),MID(K15,4,2),"0",RIGHT(R15,2))</f>
        <v>031CV008</v>
      </c>
      <c r="F15" s="115" t="str">
        <f>_xlfn.CONCAT(D15," - ",C15,IF(ISBLANK(B15),"",_xlfn.CONCAT(" Rm ",B15)))</f>
        <v>MR-VAV-1 - Public Vestibule Rm 150A</v>
      </c>
      <c r="G15" s="41" t="s">
        <v>426</v>
      </c>
      <c r="H15" s="41" t="s">
        <v>445</v>
      </c>
      <c r="I15" s="115" t="s">
        <v>427</v>
      </c>
      <c r="J15" s="115" t="s">
        <v>428</v>
      </c>
      <c r="K15" s="41" t="s">
        <v>429</v>
      </c>
      <c r="L15" s="111" t="s">
        <v>430</v>
      </c>
      <c r="M15" s="41" t="s">
        <v>431</v>
      </c>
      <c r="N15" s="41"/>
      <c r="O15" s="116">
        <v>8</v>
      </c>
      <c r="R15" s="115">
        <f>1003100+O15</f>
        <v>1003108</v>
      </c>
      <c r="Z15" s="41" t="s">
        <v>432</v>
      </c>
      <c r="AA15" s="41" t="s">
        <v>452</v>
      </c>
      <c r="AB15" s="41" t="s">
        <v>434</v>
      </c>
      <c r="AC15" s="39" t="b">
        <f>IF(AND(NOT(ISBLANK(AA15)),NOT(EXACT(AA15,"VAV-CLG"))),TRUE,FALSE)</f>
        <v>1</v>
      </c>
      <c r="AD15" s="39" t="b">
        <f>IF(EXACT(AA15,"VAV-RAD"),TRUE,FALSE)</f>
        <v>1</v>
      </c>
      <c r="AE15" s="39">
        <v>4</v>
      </c>
      <c r="AF15" s="131">
        <f>VLOOKUP($AE15,Manufacturer!$B$2:$E$22,3)</f>
        <v>0.09</v>
      </c>
      <c r="AG15" s="131">
        <f>VLOOKUP($AE15,Manufacturer!$B$2:$E$22,4)</f>
        <v>1.63</v>
      </c>
      <c r="AH15" s="115">
        <v>100</v>
      </c>
      <c r="AI15" s="115">
        <v>30</v>
      </c>
      <c r="AJ15" s="132">
        <v>65</v>
      </c>
      <c r="AK15" s="115">
        <v>30</v>
      </c>
    </row>
    <row r="16" spans="1:38" s="115" customFormat="1" ht="14">
      <c r="A16" s="41" t="s">
        <v>423</v>
      </c>
      <c r="B16" s="116" t="s">
        <v>424</v>
      </c>
      <c r="C16" s="43" t="s">
        <v>425</v>
      </c>
      <c r="D16" s="41" t="str">
        <f>_xlfn.CONCAT("MR-",G16)</f>
        <v>MR-VAV-1</v>
      </c>
      <c r="E16" s="41" t="str">
        <f>_xlfn.CONCAT(RIGHT(L16,2),RIGHT(M16,1),MID(K16,4,2),"0",RIGHT(R16,2))</f>
        <v>031CV009</v>
      </c>
      <c r="F16" s="115" t="str">
        <f>_xlfn.CONCAT(D16," - ",C16,IF(ISBLANK(B16),"",_xlfn.CONCAT(" Rm ",B16)))</f>
        <v>MR-VAV-1 - Public Vestibule Rm 150A</v>
      </c>
      <c r="G16" s="41" t="s">
        <v>426</v>
      </c>
      <c r="H16" s="41" t="s">
        <v>445</v>
      </c>
      <c r="I16" s="115" t="s">
        <v>427</v>
      </c>
      <c r="J16" s="115" t="s">
        <v>428</v>
      </c>
      <c r="K16" s="41" t="s">
        <v>429</v>
      </c>
      <c r="L16" s="111" t="s">
        <v>430</v>
      </c>
      <c r="M16" s="41" t="s">
        <v>431</v>
      </c>
      <c r="N16" s="41"/>
      <c r="O16" s="116">
        <v>9</v>
      </c>
      <c r="R16" s="115">
        <f>1003100+O16</f>
        <v>1003109</v>
      </c>
      <c r="Z16" s="41" t="s">
        <v>432</v>
      </c>
      <c r="AA16" s="41" t="s">
        <v>452</v>
      </c>
      <c r="AB16" s="41" t="s">
        <v>434</v>
      </c>
      <c r="AC16" s="39" t="b">
        <f>IF(AND(NOT(ISBLANK(AA16)),NOT(EXACT(AA16,"VAV-CLG"))),TRUE,FALSE)</f>
        <v>1</v>
      </c>
      <c r="AD16" s="39" t="b">
        <f>IF(EXACT(AA16,"VAV-RAD"),TRUE,FALSE)</f>
        <v>1</v>
      </c>
      <c r="AE16" s="39">
        <v>10</v>
      </c>
      <c r="AF16" s="131">
        <f>VLOOKUP($AE16,Manufacturer!$B$2:$E$22,3)</f>
        <v>0.55000000000000004</v>
      </c>
      <c r="AG16" s="131">
        <f>VLOOKUP($AE16,Manufacturer!$B$2:$E$22,4)</f>
        <v>2.31</v>
      </c>
      <c r="AH16" s="115">
        <v>700</v>
      </c>
      <c r="AI16" s="115">
        <v>165</v>
      </c>
      <c r="AJ16" s="132">
        <v>433</v>
      </c>
      <c r="AK16" s="115">
        <v>165</v>
      </c>
    </row>
    <row r="17" spans="1:37" s="115" customFormat="1" ht="14">
      <c r="A17" s="41" t="s">
        <v>423</v>
      </c>
      <c r="B17" s="116" t="s">
        <v>424</v>
      </c>
      <c r="C17" s="43" t="s">
        <v>425</v>
      </c>
      <c r="D17" s="41" t="str">
        <f>_xlfn.CONCAT("MR-",G17)</f>
        <v>MR-VAV-1</v>
      </c>
      <c r="E17" s="41" t="str">
        <f>_xlfn.CONCAT(RIGHT(L17,2),RIGHT(M17,1),MID(K17,4,2),"0",RIGHT(R17,2))</f>
        <v>031CV010</v>
      </c>
      <c r="F17" s="115" t="str">
        <f>_xlfn.CONCAT(D17," - ",C17,IF(ISBLANK(B17),"",_xlfn.CONCAT(" Rm ",B17)))</f>
        <v>MR-VAV-1 - Public Vestibule Rm 150A</v>
      </c>
      <c r="G17" s="41" t="s">
        <v>426</v>
      </c>
      <c r="H17" s="41" t="s">
        <v>445</v>
      </c>
      <c r="I17" s="115" t="s">
        <v>427</v>
      </c>
      <c r="J17" s="115" t="s">
        <v>428</v>
      </c>
      <c r="K17" s="41" t="s">
        <v>429</v>
      </c>
      <c r="L17" s="111" t="s">
        <v>430</v>
      </c>
      <c r="M17" s="41" t="s">
        <v>431</v>
      </c>
      <c r="N17" s="41"/>
      <c r="O17" s="116">
        <v>10</v>
      </c>
      <c r="R17" s="115">
        <f>1003100+O17</f>
        <v>1003110</v>
      </c>
      <c r="Z17" s="41" t="s">
        <v>432</v>
      </c>
      <c r="AA17" s="41" t="s">
        <v>433</v>
      </c>
      <c r="AB17" s="41" t="s">
        <v>434</v>
      </c>
      <c r="AC17" s="39" t="b">
        <f>IF(AND(NOT(ISBLANK(AA17)),NOT(EXACT(AA17,"VAV-CLG"))),TRUE,FALSE)</f>
        <v>1</v>
      </c>
      <c r="AD17" s="39" t="b">
        <f>IF(EXACT(AA17,"VAV-RAD"),TRUE,FALSE)</f>
        <v>0</v>
      </c>
      <c r="AE17" s="39">
        <v>6</v>
      </c>
      <c r="AF17" s="131">
        <f>VLOOKUP($AE17,Manufacturer!$B$2:$E$22,3)</f>
        <v>0.2</v>
      </c>
      <c r="AG17" s="131">
        <f>VLOOKUP($AE17,Manufacturer!$B$2:$E$22,4)</f>
        <v>3.07</v>
      </c>
      <c r="AH17" s="115">
        <v>350</v>
      </c>
      <c r="AI17" s="115">
        <v>85</v>
      </c>
      <c r="AJ17" s="132">
        <v>218</v>
      </c>
      <c r="AK17" s="115">
        <v>85</v>
      </c>
    </row>
    <row r="18" spans="1:37" s="115" customFormat="1" ht="14">
      <c r="A18" s="41"/>
      <c r="B18" s="116"/>
      <c r="C18" s="41"/>
      <c r="D18" s="41"/>
      <c r="E18" s="41"/>
      <c r="G18" s="41"/>
      <c r="H18" s="41"/>
      <c r="K18" s="41"/>
      <c r="L18" s="111"/>
      <c r="M18" s="41"/>
      <c r="N18" s="41"/>
      <c r="O18" s="116"/>
      <c r="Z18" s="41"/>
      <c r="AA18" s="41"/>
      <c r="AB18" s="41"/>
      <c r="AC18" s="39"/>
      <c r="AD18" s="39"/>
      <c r="AE18" s="39"/>
      <c r="AF18" s="39"/>
      <c r="AG18" s="131"/>
    </row>
    <row r="19" spans="1:37" s="115" customFormat="1" ht="14">
      <c r="A19" s="41"/>
      <c r="B19" s="116"/>
      <c r="C19" s="41"/>
      <c r="D19" s="41"/>
      <c r="E19" s="41"/>
      <c r="G19" s="41"/>
      <c r="H19" s="41"/>
      <c r="K19" s="41"/>
      <c r="L19" s="111"/>
      <c r="M19" s="41"/>
      <c r="N19" s="41"/>
      <c r="O19" s="116"/>
      <c r="Z19" s="41"/>
      <c r="AA19" s="41"/>
      <c r="AB19" s="41"/>
      <c r="AC19" s="39"/>
      <c r="AD19" s="39"/>
      <c r="AE19" s="39"/>
      <c r="AF19" s="39"/>
      <c r="AG19" s="131"/>
    </row>
    <row r="20" spans="1:37" s="115" customFormat="1" ht="14">
      <c r="A20" s="41"/>
      <c r="B20" s="116"/>
      <c r="C20" s="41"/>
      <c r="D20" s="41"/>
      <c r="E20" s="41"/>
      <c r="G20" s="41"/>
      <c r="H20" s="41"/>
      <c r="K20" s="41"/>
      <c r="L20" s="111"/>
      <c r="M20" s="41"/>
      <c r="N20" s="41"/>
      <c r="O20" s="116"/>
      <c r="Z20" s="41"/>
      <c r="AA20" s="41"/>
      <c r="AB20" s="41"/>
      <c r="AC20" s="39"/>
      <c r="AD20" s="39"/>
      <c r="AE20" s="39"/>
      <c r="AF20" s="39"/>
      <c r="AG20" s="131"/>
    </row>
    <row r="21" spans="1:37" s="115" customFormat="1" ht="14">
      <c r="A21" s="41"/>
      <c r="B21" s="116"/>
      <c r="C21" s="41"/>
      <c r="D21" s="41"/>
      <c r="E21" s="41"/>
      <c r="G21" s="41"/>
      <c r="H21" s="41"/>
      <c r="K21" s="41"/>
      <c r="L21" s="111"/>
      <c r="M21" s="41"/>
      <c r="N21" s="41"/>
      <c r="O21" s="116"/>
      <c r="Z21" s="41"/>
      <c r="AA21" s="41"/>
      <c r="AB21" s="41"/>
      <c r="AC21" s="39"/>
      <c r="AD21" s="39"/>
      <c r="AE21" s="39"/>
      <c r="AF21" s="39"/>
      <c r="AG21" s="131"/>
    </row>
    <row r="22" spans="1:37" s="115" customFormat="1" ht="14">
      <c r="A22" s="41"/>
      <c r="B22" s="116"/>
      <c r="C22" s="41"/>
      <c r="D22" s="41"/>
      <c r="E22" s="41"/>
      <c r="G22" s="41"/>
      <c r="H22" s="41"/>
      <c r="K22" s="41"/>
      <c r="L22" s="111"/>
      <c r="M22" s="41"/>
      <c r="N22" s="41"/>
      <c r="O22" s="116"/>
      <c r="Z22" s="41"/>
      <c r="AA22" s="41"/>
      <c r="AB22" s="41"/>
      <c r="AC22" s="39"/>
      <c r="AD22" s="39"/>
      <c r="AE22" s="39"/>
      <c r="AF22" s="39"/>
      <c r="AG22" s="131"/>
    </row>
    <row r="23" spans="1:37" s="112" customFormat="1">
      <c r="G23" s="41"/>
      <c r="L23" s="113"/>
    </row>
    <row r="24" spans="1:37" s="112" customFormat="1">
      <c r="G24" s="41"/>
      <c r="L24" s="113"/>
    </row>
    <row r="25" spans="1:37" s="112" customFormat="1">
      <c r="L25" s="113"/>
    </row>
    <row r="26" spans="1:37" s="112" customFormat="1">
      <c r="L26" s="113"/>
    </row>
    <row r="27" spans="1:37" s="112" customFormat="1">
      <c r="L27" s="113"/>
    </row>
    <row r="28" spans="1:37" s="112" customFormat="1">
      <c r="L28" s="113"/>
    </row>
    <row r="29" spans="1:37" s="112" customFormat="1">
      <c r="L29" s="113"/>
    </row>
    <row r="30" spans="1:37" s="112" customFormat="1">
      <c r="L30" s="113"/>
    </row>
    <row r="31" spans="1:37" s="112" customFormat="1">
      <c r="L31" s="113"/>
    </row>
    <row r="32" spans="1:37" s="112" customFormat="1">
      <c r="L32" s="113"/>
    </row>
    <row r="33" spans="12:12" s="112" customFormat="1">
      <c r="L33" s="113"/>
    </row>
    <row r="34" spans="12:12" s="112" customFormat="1">
      <c r="L34" s="113"/>
    </row>
    <row r="35" spans="12:12" s="112" customFormat="1">
      <c r="L35" s="113"/>
    </row>
    <row r="36" spans="12:12" s="112" customFormat="1">
      <c r="L36" s="113"/>
    </row>
    <row r="37" spans="12:12" s="112" customFormat="1">
      <c r="L37" s="113"/>
    </row>
    <row r="38" spans="12:12" s="112" customFormat="1">
      <c r="L38" s="113"/>
    </row>
    <row r="39" spans="12:12" s="112" customFormat="1">
      <c r="L39" s="113"/>
    </row>
    <row r="40" spans="12:12" s="112" customFormat="1">
      <c r="L40" s="113"/>
    </row>
    <row r="41" spans="12:12" s="112" customFormat="1">
      <c r="L41" s="113"/>
    </row>
    <row r="42" spans="12:12" s="112" customFormat="1">
      <c r="L42" s="113"/>
    </row>
    <row r="43" spans="12:12" s="112" customFormat="1">
      <c r="L43" s="113"/>
    </row>
    <row r="44" spans="12:12" s="112" customFormat="1">
      <c r="L44" s="113"/>
    </row>
    <row r="45" spans="12:12" s="112" customFormat="1">
      <c r="L45" s="113"/>
    </row>
    <row r="46" spans="12:12" s="112" customFormat="1">
      <c r="L46" s="113"/>
    </row>
    <row r="47" spans="12:12" s="112" customFormat="1">
      <c r="L47" s="113"/>
    </row>
    <row r="48" spans="12:12" s="112" customFormat="1">
      <c r="L48" s="113"/>
    </row>
    <row r="49" spans="12:12" s="112" customFormat="1">
      <c r="L49" s="113"/>
    </row>
    <row r="50" spans="12:12" s="112" customFormat="1">
      <c r="L50" s="113"/>
    </row>
    <row r="51" spans="12:12" s="112" customFormat="1">
      <c r="L51" s="113"/>
    </row>
    <row r="52" spans="12:12" s="112" customFormat="1">
      <c r="L52" s="113"/>
    </row>
    <row r="53" spans="12:12" s="112" customFormat="1">
      <c r="L53" s="113"/>
    </row>
    <row r="54" spans="12:12" s="112" customFormat="1">
      <c r="L54" s="113"/>
    </row>
    <row r="55" spans="12:12" s="112" customFormat="1">
      <c r="L55" s="113"/>
    </row>
    <row r="56" spans="12:12" s="112" customFormat="1">
      <c r="L56" s="113"/>
    </row>
    <row r="57" spans="12:12" s="112" customFormat="1">
      <c r="L57" s="113"/>
    </row>
    <row r="58" spans="12:12" s="112" customFormat="1">
      <c r="L58" s="113"/>
    </row>
    <row r="59" spans="12:12" s="112" customFormat="1">
      <c r="L59" s="113"/>
    </row>
    <row r="60" spans="12:12" s="112" customFormat="1">
      <c r="L60" s="113"/>
    </row>
    <row r="61" spans="12:12" s="112" customFormat="1">
      <c r="L61" s="113"/>
    </row>
    <row r="62" spans="12:12" s="112" customFormat="1">
      <c r="L62" s="113"/>
    </row>
    <row r="63" spans="12:12" s="112" customFormat="1">
      <c r="L63" s="113"/>
    </row>
    <row r="64" spans="12:12" s="112" customFormat="1">
      <c r="L64" s="113"/>
    </row>
    <row r="65" spans="12:12" s="112" customFormat="1">
      <c r="L65" s="113"/>
    </row>
    <row r="66" spans="12:12" s="112" customFormat="1">
      <c r="L66" s="113"/>
    </row>
    <row r="67" spans="12:12" s="112" customFormat="1">
      <c r="L67" s="113"/>
    </row>
    <row r="68" spans="12:12" s="112" customFormat="1">
      <c r="L68" s="113"/>
    </row>
    <row r="69" spans="12:12" s="112" customFormat="1">
      <c r="L69" s="113"/>
    </row>
    <row r="70" spans="12:12" s="112" customFormat="1">
      <c r="L70" s="113"/>
    </row>
    <row r="71" spans="12:12" s="112" customFormat="1">
      <c r="L71" s="113"/>
    </row>
    <row r="72" spans="12:12" s="112" customFormat="1">
      <c r="L72" s="113"/>
    </row>
    <row r="73" spans="12:12" s="112" customFormat="1">
      <c r="L73" s="113"/>
    </row>
    <row r="74" spans="12:12" s="112" customFormat="1">
      <c r="L74" s="113"/>
    </row>
    <row r="75" spans="12:12" s="112" customFormat="1">
      <c r="L75" s="113"/>
    </row>
    <row r="76" spans="12:12" s="112" customFormat="1">
      <c r="L76" s="113"/>
    </row>
    <row r="77" spans="12:12" s="112" customFormat="1">
      <c r="L77" s="113"/>
    </row>
    <row r="78" spans="12:12" s="112" customFormat="1">
      <c r="L78" s="113"/>
    </row>
    <row r="79" spans="12:12" s="112" customFormat="1">
      <c r="L79" s="113"/>
    </row>
    <row r="80" spans="12:12" s="112" customFormat="1">
      <c r="L80" s="113"/>
    </row>
    <row r="81" spans="12:12" s="112" customFormat="1">
      <c r="L81" s="113"/>
    </row>
    <row r="82" spans="12:12" s="112" customFormat="1">
      <c r="L82" s="113"/>
    </row>
    <row r="83" spans="12:12" s="112" customFormat="1">
      <c r="L83" s="113"/>
    </row>
    <row r="84" spans="12:12" s="112" customFormat="1">
      <c r="L84" s="113"/>
    </row>
    <row r="85" spans="12:12" s="112" customFormat="1">
      <c r="L85" s="113"/>
    </row>
    <row r="86" spans="12:12" s="112" customFormat="1">
      <c r="L86" s="113"/>
    </row>
    <row r="87" spans="12:12" s="112" customFormat="1">
      <c r="L87" s="113"/>
    </row>
    <row r="88" spans="12:12" s="112" customFormat="1">
      <c r="L88" s="113"/>
    </row>
    <row r="89" spans="12:12" s="112" customFormat="1">
      <c r="L89" s="113"/>
    </row>
    <row r="90" spans="12:12" s="112" customFormat="1">
      <c r="L90" s="113"/>
    </row>
    <row r="91" spans="12:12" s="112" customFormat="1">
      <c r="L91" s="113"/>
    </row>
    <row r="92" spans="12:12" s="112" customFormat="1">
      <c r="L92" s="113"/>
    </row>
    <row r="93" spans="12:12" s="112" customFormat="1">
      <c r="L93" s="113"/>
    </row>
    <row r="94" spans="12:12" s="112" customFormat="1">
      <c r="L94" s="113"/>
    </row>
    <row r="95" spans="12:12" s="112" customFormat="1">
      <c r="L95" s="113"/>
    </row>
    <row r="96" spans="12:12" s="112" customFormat="1">
      <c r="L96" s="113"/>
    </row>
    <row r="97" spans="12:12" s="112" customFormat="1">
      <c r="L97" s="113"/>
    </row>
    <row r="98" spans="12:12" s="112" customFormat="1">
      <c r="L98" s="113"/>
    </row>
    <row r="99" spans="12:12" s="112" customFormat="1">
      <c r="L99" s="113"/>
    </row>
    <row r="100" spans="12:12" s="112" customFormat="1">
      <c r="L100" s="113"/>
    </row>
    <row r="101" spans="12:12" s="112" customFormat="1">
      <c r="L101" s="113"/>
    </row>
    <row r="102" spans="12:12" s="112" customFormat="1">
      <c r="L102" s="113"/>
    </row>
    <row r="103" spans="12:12" s="112" customFormat="1">
      <c r="L103" s="113"/>
    </row>
    <row r="104" spans="12:12" s="112" customFormat="1">
      <c r="L104" s="113"/>
    </row>
    <row r="105" spans="12:12" s="112" customFormat="1">
      <c r="L105" s="113"/>
    </row>
    <row r="106" spans="12:12" s="112" customFormat="1">
      <c r="L106" s="113"/>
    </row>
    <row r="107" spans="12:12" s="112" customFormat="1">
      <c r="L107" s="113"/>
    </row>
    <row r="108" spans="12:12" s="112" customFormat="1">
      <c r="L108" s="113"/>
    </row>
    <row r="109" spans="12:12" s="112" customFormat="1">
      <c r="L109" s="113"/>
    </row>
    <row r="110" spans="12:12" s="112" customFormat="1">
      <c r="L110" s="113"/>
    </row>
    <row r="111" spans="12:12" s="112" customFormat="1">
      <c r="L111" s="113"/>
    </row>
    <row r="112" spans="12:12" s="112" customFormat="1">
      <c r="L112" s="113"/>
    </row>
    <row r="113" spans="12:12" s="112" customFormat="1">
      <c r="L113" s="113"/>
    </row>
    <row r="114" spans="12:12" s="112" customFormat="1">
      <c r="L114" s="113"/>
    </row>
    <row r="115" spans="12:12" s="112" customFormat="1">
      <c r="L115" s="113"/>
    </row>
    <row r="116" spans="12:12" s="112" customFormat="1">
      <c r="L116" s="113"/>
    </row>
    <row r="117" spans="12:12" s="112" customFormat="1">
      <c r="L117" s="113"/>
    </row>
    <row r="118" spans="12:12" s="112" customFormat="1">
      <c r="L118" s="113"/>
    </row>
    <row r="119" spans="12:12" s="112" customFormat="1">
      <c r="L119" s="113"/>
    </row>
    <row r="120" spans="12:12" s="112" customFormat="1">
      <c r="L120" s="113"/>
    </row>
    <row r="121" spans="12:12" s="112" customFormat="1">
      <c r="L121" s="113"/>
    </row>
    <row r="122" spans="12:12" s="112" customFormat="1">
      <c r="L122" s="113"/>
    </row>
    <row r="123" spans="12:12" s="112" customFormat="1">
      <c r="L123" s="113"/>
    </row>
    <row r="124" spans="12:12" s="112" customFormat="1">
      <c r="L124" s="113"/>
    </row>
    <row r="125" spans="12:12" s="112" customFormat="1">
      <c r="L125" s="113"/>
    </row>
    <row r="126" spans="12:12" s="112" customFormat="1">
      <c r="L126" s="113"/>
    </row>
    <row r="127" spans="12:12" s="112" customFormat="1">
      <c r="L127" s="113"/>
    </row>
    <row r="128" spans="12:12" s="112" customFormat="1">
      <c r="L128" s="113"/>
    </row>
    <row r="129" spans="12:12" s="112" customFormat="1">
      <c r="L129" s="113"/>
    </row>
    <row r="130" spans="12:12" s="112" customFormat="1">
      <c r="L130" s="113"/>
    </row>
    <row r="131" spans="12:12" s="112" customFormat="1">
      <c r="L131" s="113"/>
    </row>
    <row r="132" spans="12:12" s="112" customFormat="1">
      <c r="L132" s="113"/>
    </row>
    <row r="133" spans="12:12" s="112" customFormat="1">
      <c r="L133" s="113"/>
    </row>
    <row r="134" spans="12:12" s="112" customFormat="1">
      <c r="L134" s="113"/>
    </row>
    <row r="135" spans="12:12" s="112" customFormat="1">
      <c r="L135" s="113"/>
    </row>
    <row r="136" spans="12:12" s="112" customFormat="1">
      <c r="L136" s="113"/>
    </row>
    <row r="137" spans="12:12" s="112" customFormat="1">
      <c r="L137" s="113"/>
    </row>
    <row r="138" spans="12:12" s="112" customFormat="1">
      <c r="L138" s="113"/>
    </row>
    <row r="139" spans="12:12" s="112" customFormat="1">
      <c r="L139" s="113"/>
    </row>
    <row r="140" spans="12:12" s="112" customFormat="1">
      <c r="L140" s="113"/>
    </row>
    <row r="141" spans="12:12" s="112" customFormat="1">
      <c r="L141" s="113"/>
    </row>
    <row r="142" spans="12:12" s="112" customFormat="1">
      <c r="L142" s="113"/>
    </row>
    <row r="143" spans="12:12" s="112" customFormat="1">
      <c r="L143" s="113"/>
    </row>
    <row r="144" spans="12:12" s="112" customFormat="1">
      <c r="L144" s="113"/>
    </row>
    <row r="145" spans="12:12" s="112" customFormat="1">
      <c r="L145" s="113"/>
    </row>
    <row r="146" spans="12:12" s="112" customFormat="1">
      <c r="L146" s="113"/>
    </row>
    <row r="147" spans="12:12" s="112" customFormat="1">
      <c r="L147" s="113"/>
    </row>
    <row r="148" spans="12:12" s="112" customFormat="1">
      <c r="L148" s="113"/>
    </row>
    <row r="149" spans="12:12" s="112" customFormat="1">
      <c r="L149" s="113"/>
    </row>
    <row r="150" spans="12:12" s="112" customFormat="1">
      <c r="L150" s="113"/>
    </row>
    <row r="151" spans="12:12" s="112" customFormat="1">
      <c r="L151" s="113"/>
    </row>
    <row r="152" spans="12:12" s="112" customFormat="1">
      <c r="L152" s="113"/>
    </row>
    <row r="153" spans="12:12" s="112" customFormat="1">
      <c r="L153" s="113"/>
    </row>
    <row r="154" spans="12:12" s="112" customFormat="1">
      <c r="L154" s="113"/>
    </row>
    <row r="155" spans="12:12" s="112" customFormat="1">
      <c r="L155" s="113"/>
    </row>
    <row r="156" spans="12:12" s="112" customFormat="1">
      <c r="L156" s="113"/>
    </row>
    <row r="157" spans="12:12" s="112" customFormat="1">
      <c r="L157" s="113"/>
    </row>
    <row r="158" spans="12:12" s="112" customFormat="1">
      <c r="L158" s="113"/>
    </row>
    <row r="159" spans="12:12" s="112" customFormat="1">
      <c r="L159" s="113"/>
    </row>
    <row r="160" spans="12:12" s="112" customFormat="1">
      <c r="L160" s="113"/>
    </row>
    <row r="161" spans="12:12" s="112" customFormat="1">
      <c r="L161" s="113"/>
    </row>
    <row r="162" spans="12:12" s="112" customFormat="1">
      <c r="L162" s="113"/>
    </row>
    <row r="163" spans="12:12" s="112" customFormat="1">
      <c r="L163" s="113"/>
    </row>
    <row r="164" spans="12:12" s="112" customFormat="1">
      <c r="L164" s="113"/>
    </row>
    <row r="165" spans="12:12" s="112" customFormat="1">
      <c r="L165" s="113"/>
    </row>
    <row r="166" spans="12:12" s="112" customFormat="1">
      <c r="L166" s="113"/>
    </row>
    <row r="167" spans="12:12" s="112" customFormat="1">
      <c r="L167" s="113"/>
    </row>
    <row r="168" spans="12:12" s="112" customFormat="1">
      <c r="L168" s="113"/>
    </row>
    <row r="169" spans="12:12" s="112" customFormat="1">
      <c r="L169" s="113"/>
    </row>
    <row r="170" spans="12:12" s="112" customFormat="1">
      <c r="L170" s="113"/>
    </row>
    <row r="171" spans="12:12" s="112" customFormat="1">
      <c r="L171" s="113"/>
    </row>
    <row r="172" spans="12:12" s="112" customFormat="1">
      <c r="L172" s="113"/>
    </row>
    <row r="173" spans="12:12" s="112" customFormat="1">
      <c r="L173" s="113"/>
    </row>
    <row r="174" spans="12:12" s="112" customFormat="1">
      <c r="L174" s="113"/>
    </row>
    <row r="175" spans="12:12" s="112" customFormat="1">
      <c r="L175" s="113"/>
    </row>
    <row r="176" spans="12:12" s="112" customFormat="1">
      <c r="L176" s="113"/>
    </row>
    <row r="177" spans="12:12" s="112" customFormat="1">
      <c r="L177" s="113"/>
    </row>
    <row r="178" spans="12:12" s="112" customFormat="1">
      <c r="L178" s="113"/>
    </row>
    <row r="179" spans="12:12" s="112" customFormat="1">
      <c r="L179" s="113"/>
    </row>
    <row r="180" spans="12:12" s="112" customFormat="1">
      <c r="L180" s="113"/>
    </row>
    <row r="181" spans="12:12" s="112" customFormat="1">
      <c r="L181" s="113"/>
    </row>
    <row r="182" spans="12:12" s="112" customFormat="1">
      <c r="L182" s="113"/>
    </row>
    <row r="183" spans="12:12" s="112" customFormat="1">
      <c r="L183" s="113"/>
    </row>
    <row r="184" spans="12:12" s="112" customFormat="1">
      <c r="L184" s="113"/>
    </row>
    <row r="185" spans="12:12" s="112" customFormat="1">
      <c r="L185" s="113"/>
    </row>
    <row r="186" spans="12:12" s="112" customFormat="1">
      <c r="L186" s="113"/>
    </row>
    <row r="187" spans="12:12" s="112" customFormat="1">
      <c r="L187" s="113"/>
    </row>
    <row r="188" spans="12:12" s="112" customFormat="1">
      <c r="L188" s="113"/>
    </row>
    <row r="189" spans="12:12" s="112" customFormat="1">
      <c r="L189" s="113"/>
    </row>
    <row r="190" spans="12:12" s="112" customFormat="1">
      <c r="L190" s="113"/>
    </row>
    <row r="191" spans="12:12" s="112" customFormat="1">
      <c r="L191" s="113"/>
    </row>
    <row r="192" spans="12:12" s="112" customFormat="1">
      <c r="L192" s="113"/>
    </row>
    <row r="193" spans="12:12" s="112" customFormat="1">
      <c r="L193" s="113"/>
    </row>
    <row r="194" spans="12:12" s="112" customFormat="1">
      <c r="L194" s="113"/>
    </row>
    <row r="195" spans="12:12" s="112" customFormat="1">
      <c r="L195" s="113"/>
    </row>
    <row r="196" spans="12:12" s="112" customFormat="1">
      <c r="L196" s="113"/>
    </row>
    <row r="197" spans="12:12" s="112" customFormat="1">
      <c r="L197" s="113"/>
    </row>
    <row r="198" spans="12:12" s="112" customFormat="1">
      <c r="L198" s="113"/>
    </row>
    <row r="199" spans="12:12" s="112" customFormat="1">
      <c r="L199" s="113"/>
    </row>
    <row r="200" spans="12:12" s="112" customFormat="1">
      <c r="L200" s="113"/>
    </row>
    <row r="201" spans="12:12" s="112" customFormat="1">
      <c r="L201" s="113"/>
    </row>
    <row r="202" spans="12:12" s="112" customFormat="1">
      <c r="L202" s="113"/>
    </row>
    <row r="203" spans="12:12" s="112" customFormat="1">
      <c r="L203" s="113"/>
    </row>
    <row r="204" spans="12:12" s="112" customFormat="1">
      <c r="L204" s="113"/>
    </row>
    <row r="205" spans="12:12" s="112" customFormat="1">
      <c r="L205" s="113"/>
    </row>
    <row r="206" spans="12:12" s="112" customFormat="1">
      <c r="L206" s="113"/>
    </row>
    <row r="207" spans="12:12" s="112" customFormat="1">
      <c r="L207" s="113"/>
    </row>
    <row r="208" spans="12:12" s="112" customFormat="1">
      <c r="L208" s="113"/>
    </row>
    <row r="209" spans="12:12" s="112" customFormat="1">
      <c r="L209" s="113"/>
    </row>
    <row r="210" spans="12:12" s="112" customFormat="1">
      <c r="L210" s="113"/>
    </row>
    <row r="211" spans="12:12" s="112" customFormat="1">
      <c r="L211" s="113"/>
    </row>
    <row r="212" spans="12:12" s="112" customFormat="1">
      <c r="L212" s="113"/>
    </row>
    <row r="213" spans="12:12" s="112" customFormat="1">
      <c r="L213" s="113"/>
    </row>
    <row r="214" spans="12:12" s="112" customFormat="1">
      <c r="L214" s="113"/>
    </row>
    <row r="215" spans="12:12" s="112" customFormat="1">
      <c r="L215" s="113"/>
    </row>
    <row r="216" spans="12:12" s="112" customFormat="1">
      <c r="L216" s="113"/>
    </row>
    <row r="217" spans="12:12" s="112" customFormat="1">
      <c r="L217" s="113"/>
    </row>
    <row r="218" spans="12:12" s="112" customFormat="1">
      <c r="L218" s="113"/>
    </row>
    <row r="219" spans="12:12" s="112" customFormat="1">
      <c r="L219" s="113"/>
    </row>
    <row r="220" spans="12:12" s="112" customFormat="1">
      <c r="L220" s="113"/>
    </row>
    <row r="221" spans="12:12" s="112" customFormat="1">
      <c r="L221" s="113"/>
    </row>
    <row r="222" spans="12:12" s="112" customFormat="1">
      <c r="L222" s="113"/>
    </row>
    <row r="223" spans="12:12" s="112" customFormat="1">
      <c r="L223" s="113"/>
    </row>
    <row r="224" spans="12:12" s="112" customFormat="1">
      <c r="L224" s="113"/>
    </row>
    <row r="225" spans="12:12" s="112" customFormat="1">
      <c r="L225" s="113"/>
    </row>
    <row r="226" spans="12:12" s="112" customFormat="1">
      <c r="L226" s="113"/>
    </row>
    <row r="227" spans="12:12" s="112" customFormat="1">
      <c r="L227" s="113"/>
    </row>
    <row r="228" spans="12:12" s="112" customFormat="1">
      <c r="L228" s="113"/>
    </row>
    <row r="229" spans="12:12" s="112" customFormat="1">
      <c r="L229" s="113"/>
    </row>
    <row r="230" spans="12:12" s="112" customFormat="1">
      <c r="L230" s="113"/>
    </row>
    <row r="231" spans="12:12" s="112" customFormat="1">
      <c r="L231" s="113"/>
    </row>
    <row r="232" spans="12:12" s="112" customFormat="1">
      <c r="L232" s="113"/>
    </row>
    <row r="233" spans="12:12" s="112" customFormat="1">
      <c r="L233" s="113"/>
    </row>
    <row r="234" spans="12:12" s="112" customFormat="1">
      <c r="L234" s="113"/>
    </row>
    <row r="235" spans="12:12" s="112" customFormat="1">
      <c r="L235" s="113"/>
    </row>
    <row r="236" spans="12:12" s="112" customFormat="1">
      <c r="L236" s="113"/>
    </row>
    <row r="237" spans="12:12" s="112" customFormat="1">
      <c r="L237" s="113"/>
    </row>
    <row r="238" spans="12:12" s="112" customFormat="1">
      <c r="L238" s="113"/>
    </row>
    <row r="239" spans="12:12" s="112" customFormat="1">
      <c r="L239" s="113"/>
    </row>
    <row r="240" spans="12:12" s="112" customFormat="1">
      <c r="L240" s="113"/>
    </row>
    <row r="241" spans="12:12" s="112" customFormat="1">
      <c r="L241" s="113"/>
    </row>
    <row r="242" spans="12:12" s="112" customFormat="1">
      <c r="L242" s="113"/>
    </row>
    <row r="243" spans="12:12" s="112" customFormat="1">
      <c r="L243" s="113"/>
    </row>
    <row r="244" spans="12:12" s="112" customFormat="1">
      <c r="L244" s="113"/>
    </row>
    <row r="245" spans="12:12" s="112" customFormat="1">
      <c r="L245" s="113"/>
    </row>
    <row r="246" spans="12:12" s="112" customFormat="1">
      <c r="L246" s="113"/>
    </row>
    <row r="247" spans="12:12" s="112" customFormat="1">
      <c r="L247" s="113"/>
    </row>
    <row r="248" spans="12:12" s="112" customFormat="1">
      <c r="L248" s="113"/>
    </row>
    <row r="249" spans="12:12" s="112" customFormat="1">
      <c r="L249" s="113"/>
    </row>
    <row r="250" spans="12:12" s="112" customFormat="1">
      <c r="L250" s="113"/>
    </row>
    <row r="251" spans="12:12" s="112" customFormat="1">
      <c r="L251" s="113"/>
    </row>
    <row r="252" spans="12:12" s="112" customFormat="1">
      <c r="L252" s="113"/>
    </row>
    <row r="253" spans="12:12" s="112" customFormat="1">
      <c r="L253" s="113"/>
    </row>
    <row r="254" spans="12:12" s="112" customFormat="1">
      <c r="L254" s="113"/>
    </row>
    <row r="255" spans="12:12" s="112" customFormat="1">
      <c r="L255" s="113"/>
    </row>
    <row r="256" spans="12:12" s="112" customFormat="1">
      <c r="L256" s="113"/>
    </row>
    <row r="257" spans="12:12" s="112" customFormat="1">
      <c r="L257" s="113"/>
    </row>
    <row r="258" spans="12:12" s="112" customFormat="1">
      <c r="L258" s="113"/>
    </row>
    <row r="259" spans="12:12" s="112" customFormat="1">
      <c r="L259" s="113"/>
    </row>
    <row r="260" spans="12:12" s="112" customFormat="1">
      <c r="L260" s="113"/>
    </row>
    <row r="261" spans="12:12" s="112" customFormat="1">
      <c r="L261" s="113"/>
    </row>
    <row r="262" spans="12:12" s="112" customFormat="1">
      <c r="L262" s="113"/>
    </row>
    <row r="263" spans="12:12" s="112" customFormat="1">
      <c r="L263" s="113"/>
    </row>
    <row r="264" spans="12:12" s="112" customFormat="1">
      <c r="L264" s="113"/>
    </row>
    <row r="265" spans="12:12" s="112" customFormat="1">
      <c r="L265" s="113"/>
    </row>
    <row r="266" spans="12:12" s="112" customFormat="1">
      <c r="L266" s="113"/>
    </row>
    <row r="267" spans="12:12" s="112" customFormat="1">
      <c r="L267" s="113"/>
    </row>
    <row r="268" spans="12:12" s="112" customFormat="1">
      <c r="L268" s="113"/>
    </row>
    <row r="269" spans="12:12" s="112" customFormat="1">
      <c r="L269" s="113"/>
    </row>
    <row r="270" spans="12:12" s="112" customFormat="1">
      <c r="L270" s="113"/>
    </row>
    <row r="271" spans="12:12" s="112" customFormat="1">
      <c r="L271" s="113"/>
    </row>
    <row r="272" spans="12:12" s="112" customFormat="1">
      <c r="L272" s="113"/>
    </row>
    <row r="273" spans="12:12" s="112" customFormat="1">
      <c r="L273" s="113"/>
    </row>
    <row r="274" spans="12:12" s="112" customFormat="1">
      <c r="L274" s="113"/>
    </row>
    <row r="275" spans="12:12" s="112" customFormat="1">
      <c r="L275" s="113"/>
    </row>
    <row r="276" spans="12:12" s="112" customFormat="1">
      <c r="L276" s="113"/>
    </row>
    <row r="277" spans="12:12" s="112" customFormat="1">
      <c r="L277" s="113"/>
    </row>
    <row r="278" spans="12:12" s="112" customFormat="1">
      <c r="L278" s="113"/>
    </row>
    <row r="279" spans="12:12" s="112" customFormat="1">
      <c r="L279" s="113"/>
    </row>
    <row r="280" spans="12:12" s="112" customFormat="1">
      <c r="L280" s="113"/>
    </row>
    <row r="281" spans="12:12" s="112" customFormat="1">
      <c r="L281" s="113"/>
    </row>
    <row r="282" spans="12:12" s="112" customFormat="1">
      <c r="L282" s="113"/>
    </row>
    <row r="283" spans="12:12" s="112" customFormat="1">
      <c r="L283" s="113"/>
    </row>
    <row r="284" spans="12:12" s="112" customFormat="1">
      <c r="L284" s="113"/>
    </row>
    <row r="285" spans="12:12" s="112" customFormat="1">
      <c r="L285" s="113"/>
    </row>
    <row r="286" spans="12:12" s="112" customFormat="1">
      <c r="L286" s="113"/>
    </row>
    <row r="287" spans="12:12" s="112" customFormat="1">
      <c r="L287" s="113"/>
    </row>
    <row r="288" spans="12:12" s="112" customFormat="1">
      <c r="L288" s="113"/>
    </row>
    <row r="289" spans="12:12" s="112" customFormat="1">
      <c r="L289" s="113"/>
    </row>
    <row r="290" spans="12:12" s="112" customFormat="1">
      <c r="L290" s="113"/>
    </row>
    <row r="291" spans="12:12" s="112" customFormat="1">
      <c r="L291" s="113"/>
    </row>
    <row r="292" spans="12:12" s="112" customFormat="1">
      <c r="L292" s="113"/>
    </row>
    <row r="293" spans="12:12" s="112" customFormat="1">
      <c r="L293" s="113"/>
    </row>
    <row r="294" spans="12:12" s="112" customFormat="1">
      <c r="L294" s="113"/>
    </row>
    <row r="295" spans="12:12" s="112" customFormat="1">
      <c r="L295" s="113"/>
    </row>
    <row r="296" spans="12:12" s="112" customFormat="1">
      <c r="L296" s="113"/>
    </row>
    <row r="297" spans="12:12" s="112" customFormat="1">
      <c r="L297" s="113"/>
    </row>
    <row r="298" spans="12:12" s="112" customFormat="1">
      <c r="L298" s="113"/>
    </row>
    <row r="299" spans="12:12" s="112" customFormat="1">
      <c r="L299" s="113"/>
    </row>
    <row r="300" spans="12:12" s="112" customFormat="1">
      <c r="L300" s="113"/>
    </row>
    <row r="301" spans="12:12" s="112" customFormat="1">
      <c r="L301" s="113"/>
    </row>
    <row r="302" spans="12:12" s="112" customFormat="1">
      <c r="L302" s="113"/>
    </row>
    <row r="303" spans="12:12" s="112" customFormat="1">
      <c r="L303" s="113"/>
    </row>
    <row r="304" spans="12:12" s="112" customFormat="1">
      <c r="L304" s="113"/>
    </row>
    <row r="305" spans="12:12" s="112" customFormat="1">
      <c r="L305" s="113"/>
    </row>
    <row r="306" spans="12:12" s="112" customFormat="1">
      <c r="L306" s="113"/>
    </row>
    <row r="307" spans="12:12" s="112" customFormat="1">
      <c r="L307" s="113"/>
    </row>
    <row r="308" spans="12:12" s="112" customFormat="1">
      <c r="L308" s="113"/>
    </row>
    <row r="309" spans="12:12" s="112" customFormat="1">
      <c r="L309" s="113"/>
    </row>
    <row r="310" spans="12:12" s="112" customFormat="1">
      <c r="L310" s="113"/>
    </row>
    <row r="311" spans="12:12" s="112" customFormat="1">
      <c r="L311" s="113"/>
    </row>
    <row r="312" spans="12:12" s="112" customFormat="1">
      <c r="L312" s="113"/>
    </row>
    <row r="313" spans="12:12" s="112" customFormat="1">
      <c r="L313" s="113"/>
    </row>
    <row r="314" spans="12:12" s="112" customFormat="1">
      <c r="L314" s="113"/>
    </row>
    <row r="315" spans="12:12" s="112" customFormat="1">
      <c r="L315" s="113"/>
    </row>
    <row r="316" spans="12:12" s="112" customFormat="1">
      <c r="L316" s="113"/>
    </row>
    <row r="317" spans="12:12" s="112" customFormat="1">
      <c r="L317" s="113"/>
    </row>
    <row r="318" spans="12:12" s="112" customFormat="1">
      <c r="L318" s="113"/>
    </row>
    <row r="319" spans="12:12" s="112" customFormat="1">
      <c r="L319" s="113"/>
    </row>
    <row r="320" spans="12:12" s="112" customFormat="1">
      <c r="L320" s="113"/>
    </row>
    <row r="321" spans="12:12" s="112" customFormat="1">
      <c r="L321" s="113"/>
    </row>
    <row r="322" spans="12:12" s="112" customFormat="1">
      <c r="L322" s="113"/>
    </row>
    <row r="323" spans="12:12" s="112" customFormat="1">
      <c r="L323" s="113"/>
    </row>
    <row r="324" spans="12:12" s="112" customFormat="1">
      <c r="L324" s="113"/>
    </row>
    <row r="325" spans="12:12" s="112" customFormat="1">
      <c r="L325" s="113"/>
    </row>
    <row r="326" spans="12:12" s="112" customFormat="1">
      <c r="L326" s="113"/>
    </row>
    <row r="327" spans="12:12" s="112" customFormat="1">
      <c r="L327" s="113"/>
    </row>
    <row r="328" spans="12:12" s="112" customFormat="1">
      <c r="L328" s="113"/>
    </row>
    <row r="329" spans="12:12" s="112" customFormat="1">
      <c r="L329" s="113"/>
    </row>
    <row r="330" spans="12:12" s="112" customFormat="1">
      <c r="L330" s="113"/>
    </row>
    <row r="331" spans="12:12" s="112" customFormat="1">
      <c r="L331" s="113"/>
    </row>
    <row r="332" spans="12:12" s="112" customFormat="1">
      <c r="L332" s="113"/>
    </row>
    <row r="333" spans="12:12" s="112" customFormat="1">
      <c r="L333" s="113"/>
    </row>
    <row r="334" spans="12:12" s="112" customFormat="1">
      <c r="L334" s="113"/>
    </row>
    <row r="335" spans="12:12" s="112" customFormat="1">
      <c r="L335" s="113"/>
    </row>
    <row r="336" spans="12:12" s="112" customFormat="1">
      <c r="L336" s="113"/>
    </row>
    <row r="337" spans="12:12" s="112" customFormat="1">
      <c r="L337" s="113"/>
    </row>
    <row r="338" spans="12:12" s="112" customFormat="1">
      <c r="L338" s="113"/>
    </row>
    <row r="339" spans="12:12" s="112" customFormat="1">
      <c r="L339" s="113"/>
    </row>
    <row r="340" spans="12:12" s="112" customFormat="1">
      <c r="L340" s="113"/>
    </row>
    <row r="341" spans="12:12" s="112" customFormat="1">
      <c r="L341" s="113"/>
    </row>
    <row r="342" spans="12:12" s="112" customFormat="1">
      <c r="L342" s="113"/>
    </row>
    <row r="343" spans="12:12" s="112" customFormat="1">
      <c r="L343" s="113"/>
    </row>
    <row r="344" spans="12:12" s="112" customFormat="1">
      <c r="L344" s="113"/>
    </row>
    <row r="345" spans="12:12" s="112" customFormat="1">
      <c r="L345" s="113"/>
    </row>
    <row r="346" spans="12:12" s="112" customFormat="1">
      <c r="L346" s="113"/>
    </row>
    <row r="347" spans="12:12" s="112" customFormat="1">
      <c r="L347" s="113"/>
    </row>
    <row r="348" spans="12:12" s="112" customFormat="1">
      <c r="L348" s="113"/>
    </row>
    <row r="349" spans="12:12" s="112" customFormat="1">
      <c r="L349" s="113"/>
    </row>
    <row r="350" spans="12:12" s="112" customFormat="1">
      <c r="L350" s="113"/>
    </row>
    <row r="351" spans="12:12" s="112" customFormat="1">
      <c r="L351" s="113"/>
    </row>
    <row r="352" spans="12:12" s="112" customFormat="1">
      <c r="L352" s="113"/>
    </row>
    <row r="353" spans="12:12" s="112" customFormat="1">
      <c r="L353" s="113"/>
    </row>
    <row r="354" spans="12:12" s="112" customFormat="1">
      <c r="L354" s="113"/>
    </row>
    <row r="355" spans="12:12" s="112" customFormat="1">
      <c r="L355" s="113"/>
    </row>
    <row r="356" spans="12:12" s="112" customFormat="1">
      <c r="L356" s="113"/>
    </row>
    <row r="357" spans="12:12" s="112" customFormat="1">
      <c r="L357" s="113"/>
    </row>
    <row r="358" spans="12:12" s="112" customFormat="1">
      <c r="L358" s="113"/>
    </row>
    <row r="359" spans="12:12" s="112" customFormat="1">
      <c r="L359" s="113"/>
    </row>
    <row r="360" spans="12:12" s="112" customFormat="1">
      <c r="L360" s="113"/>
    </row>
    <row r="361" spans="12:12" s="112" customFormat="1">
      <c r="L361" s="113"/>
    </row>
    <row r="362" spans="12:12" s="112" customFormat="1">
      <c r="L362" s="113"/>
    </row>
    <row r="363" spans="12:12" s="112" customFormat="1">
      <c r="L363" s="113"/>
    </row>
    <row r="364" spans="12:12" s="112" customFormat="1">
      <c r="L364" s="113"/>
    </row>
    <row r="365" spans="12:12" s="112" customFormat="1">
      <c r="L365" s="113"/>
    </row>
    <row r="366" spans="12:12" s="112" customFormat="1">
      <c r="L366" s="113"/>
    </row>
    <row r="367" spans="12:12" s="112" customFormat="1">
      <c r="L367" s="113"/>
    </row>
    <row r="368" spans="12:12" s="112" customFormat="1">
      <c r="L368" s="113"/>
    </row>
    <row r="369" spans="12:12" s="112" customFormat="1">
      <c r="L369" s="113"/>
    </row>
    <row r="370" spans="12:12" s="112" customFormat="1">
      <c r="L370" s="113"/>
    </row>
    <row r="371" spans="12:12" s="112" customFormat="1">
      <c r="L371" s="113"/>
    </row>
    <row r="372" spans="12:12" s="112" customFormat="1">
      <c r="L372" s="113"/>
    </row>
    <row r="373" spans="12:12" s="112" customFormat="1">
      <c r="L373" s="113"/>
    </row>
    <row r="374" spans="12:12" s="112" customFormat="1">
      <c r="L374" s="113"/>
    </row>
    <row r="375" spans="12:12" s="112" customFormat="1">
      <c r="L375" s="113"/>
    </row>
    <row r="376" spans="12:12" s="112" customFormat="1">
      <c r="L376" s="113"/>
    </row>
    <row r="377" spans="12:12" s="112" customFormat="1">
      <c r="L377" s="113"/>
    </row>
    <row r="378" spans="12:12" s="112" customFormat="1">
      <c r="L378" s="113"/>
    </row>
    <row r="379" spans="12:12" s="112" customFormat="1">
      <c r="L379" s="113"/>
    </row>
    <row r="380" spans="12:12" s="112" customFormat="1">
      <c r="L380" s="113"/>
    </row>
    <row r="381" spans="12:12" s="112" customFormat="1">
      <c r="L381" s="113"/>
    </row>
    <row r="382" spans="12:12" s="112" customFormat="1">
      <c r="L382" s="113"/>
    </row>
    <row r="383" spans="12:12" s="112" customFormat="1">
      <c r="L383" s="113"/>
    </row>
    <row r="384" spans="12:12" s="112" customFormat="1">
      <c r="L384" s="113"/>
    </row>
    <row r="385" spans="12:12" s="112" customFormat="1">
      <c r="L385" s="113"/>
    </row>
    <row r="386" spans="12:12" s="112" customFormat="1">
      <c r="L386" s="113"/>
    </row>
    <row r="387" spans="12:12" s="112" customFormat="1">
      <c r="L387" s="113"/>
    </row>
    <row r="388" spans="12:12" s="112" customFormat="1">
      <c r="L388" s="113"/>
    </row>
    <row r="389" spans="12:12" s="112" customFormat="1">
      <c r="L389" s="113"/>
    </row>
    <row r="390" spans="12:12" s="112" customFormat="1">
      <c r="L390" s="113"/>
    </row>
    <row r="391" spans="12:12" s="112" customFormat="1">
      <c r="L391" s="113"/>
    </row>
    <row r="392" spans="12:12" s="112" customFormat="1">
      <c r="L392" s="113"/>
    </row>
    <row r="393" spans="12:12" s="112" customFormat="1">
      <c r="L393" s="113"/>
    </row>
    <row r="394" spans="12:12" s="112" customFormat="1">
      <c r="L394" s="113"/>
    </row>
    <row r="395" spans="12:12" s="112" customFormat="1">
      <c r="L395" s="113"/>
    </row>
    <row r="396" spans="12:12" s="112" customFormat="1">
      <c r="L396" s="113"/>
    </row>
    <row r="397" spans="12:12" s="112" customFormat="1">
      <c r="L397" s="113"/>
    </row>
    <row r="398" spans="12:12" s="112" customFormat="1">
      <c r="L398" s="113"/>
    </row>
    <row r="399" spans="12:12" s="112" customFormat="1">
      <c r="L399" s="113"/>
    </row>
    <row r="400" spans="12:12" s="112" customFormat="1">
      <c r="L400" s="113"/>
    </row>
    <row r="401" spans="12:12" s="112" customFormat="1">
      <c r="L401" s="113"/>
    </row>
    <row r="402" spans="12:12" s="112" customFormat="1">
      <c r="L402" s="113"/>
    </row>
    <row r="403" spans="12:12" s="112" customFormat="1">
      <c r="L403" s="113"/>
    </row>
    <row r="404" spans="12:12" s="112" customFormat="1">
      <c r="L404" s="113"/>
    </row>
    <row r="405" spans="12:12" s="112" customFormat="1">
      <c r="L405" s="113"/>
    </row>
    <row r="406" spans="12:12" s="112" customFormat="1">
      <c r="L406" s="113"/>
    </row>
    <row r="407" spans="12:12" s="112" customFormat="1">
      <c r="L407" s="113"/>
    </row>
    <row r="408" spans="12:12" s="112" customFormat="1">
      <c r="L408" s="113"/>
    </row>
    <row r="409" spans="12:12" s="112" customFormat="1">
      <c r="L409" s="113"/>
    </row>
    <row r="410" spans="12:12" s="112" customFormat="1">
      <c r="L410" s="113"/>
    </row>
    <row r="411" spans="12:12" s="112" customFormat="1">
      <c r="L411" s="113"/>
    </row>
    <row r="412" spans="12:12" s="112" customFormat="1">
      <c r="L412" s="113"/>
    </row>
    <row r="413" spans="12:12" s="112" customFormat="1">
      <c r="L413" s="113"/>
    </row>
    <row r="414" spans="12:12" s="112" customFormat="1">
      <c r="L414" s="113"/>
    </row>
    <row r="415" spans="12:12" s="112" customFormat="1">
      <c r="L415" s="113"/>
    </row>
    <row r="416" spans="12:12" s="112" customFormat="1">
      <c r="L416" s="113"/>
    </row>
    <row r="417" spans="12:12" s="112" customFormat="1">
      <c r="L417" s="113"/>
    </row>
    <row r="418" spans="12:12" s="112" customFormat="1">
      <c r="L418" s="113"/>
    </row>
    <row r="419" spans="12:12" s="112" customFormat="1">
      <c r="L419" s="113"/>
    </row>
    <row r="420" spans="12:12" s="112" customFormat="1">
      <c r="L420" s="113"/>
    </row>
    <row r="421" spans="12:12" s="112" customFormat="1">
      <c r="L421" s="113"/>
    </row>
    <row r="422" spans="12:12" s="112" customFormat="1">
      <c r="L422" s="113"/>
    </row>
    <row r="423" spans="12:12" s="112" customFormat="1">
      <c r="L423" s="113"/>
    </row>
    <row r="424" spans="12:12" s="112" customFormat="1">
      <c r="L424" s="113"/>
    </row>
    <row r="425" spans="12:12" s="112" customFormat="1">
      <c r="L425" s="113"/>
    </row>
    <row r="426" spans="12:12" s="112" customFormat="1">
      <c r="L426" s="113"/>
    </row>
    <row r="427" spans="12:12" s="112" customFormat="1">
      <c r="L427" s="113"/>
    </row>
    <row r="428" spans="12:12" s="112" customFormat="1">
      <c r="L428" s="113"/>
    </row>
    <row r="429" spans="12:12" s="112" customFormat="1">
      <c r="L429" s="113"/>
    </row>
    <row r="430" spans="12:12" s="112" customFormat="1">
      <c r="L430" s="113"/>
    </row>
    <row r="431" spans="12:12" s="112" customFormat="1">
      <c r="L431" s="113"/>
    </row>
    <row r="432" spans="12:12" s="112" customFormat="1">
      <c r="L432" s="113"/>
    </row>
    <row r="433" spans="12:12" s="112" customFormat="1">
      <c r="L433" s="113"/>
    </row>
    <row r="434" spans="12:12" s="112" customFormat="1">
      <c r="L434" s="113"/>
    </row>
    <row r="435" spans="12:12" s="112" customFormat="1">
      <c r="L435" s="113"/>
    </row>
    <row r="436" spans="12:12" s="112" customFormat="1">
      <c r="L436" s="113"/>
    </row>
    <row r="437" spans="12:12" s="112" customFormat="1">
      <c r="L437" s="113"/>
    </row>
    <row r="438" spans="12:12" s="112" customFormat="1">
      <c r="L438" s="113"/>
    </row>
    <row r="439" spans="12:12" s="112" customFormat="1">
      <c r="L439" s="113"/>
    </row>
    <row r="440" spans="12:12" s="112" customFormat="1">
      <c r="L440" s="113"/>
    </row>
    <row r="441" spans="12:12" s="112" customFormat="1">
      <c r="L441" s="113"/>
    </row>
    <row r="442" spans="12:12" s="112" customFormat="1">
      <c r="L442" s="113"/>
    </row>
    <row r="443" spans="12:12" s="112" customFormat="1">
      <c r="L443" s="113"/>
    </row>
    <row r="444" spans="12:12" s="112" customFormat="1">
      <c r="L444" s="113"/>
    </row>
    <row r="445" spans="12:12" s="112" customFormat="1">
      <c r="L445" s="113"/>
    </row>
    <row r="446" spans="12:12" s="112" customFormat="1">
      <c r="L446" s="113"/>
    </row>
    <row r="447" spans="12:12" s="112" customFormat="1">
      <c r="L447" s="113"/>
    </row>
    <row r="448" spans="12:12" s="112" customFormat="1">
      <c r="L448" s="113"/>
    </row>
    <row r="449" spans="12:12" s="112" customFormat="1">
      <c r="L449" s="113"/>
    </row>
    <row r="450" spans="12:12" s="112" customFormat="1">
      <c r="L450" s="113"/>
    </row>
    <row r="451" spans="12:12" s="112" customFormat="1">
      <c r="L451" s="113"/>
    </row>
    <row r="452" spans="12:12" s="112" customFormat="1">
      <c r="L452" s="113"/>
    </row>
  </sheetData>
  <mergeCells count="9">
    <mergeCell ref="AC3:AL3"/>
    <mergeCell ref="A5:C5"/>
    <mergeCell ref="A7:D7"/>
    <mergeCell ref="E7:F7"/>
    <mergeCell ref="A6:C6"/>
    <mergeCell ref="A3:C3"/>
    <mergeCell ref="D3:K3"/>
    <mergeCell ref="L3:Y3"/>
    <mergeCell ref="Z3:AA3"/>
  </mergeCell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E1B8-58DE-E642-BC54-2E8DDEAF9398}">
  <dimension ref="B1:AK46"/>
  <sheetViews>
    <sheetView showGridLines="0" zoomScale="70" zoomScaleNormal="70" workbookViewId="0">
      <pane xSplit="5" ySplit="2" topLeftCell="X35" activePane="bottomRight" state="frozen"/>
      <selection pane="topRight" activeCell="F1" sqref="F1"/>
      <selection pane="bottomLeft" activeCell="A3" sqref="A3"/>
      <selection pane="bottomRight" activeCell="D2" sqref="D2:E2"/>
    </sheetView>
  </sheetViews>
  <sheetFormatPr baseColWidth="10" defaultRowHeight="15"/>
  <cols>
    <col min="1" max="1" width="8.83203125" customWidth="1"/>
    <col min="2" max="2" width="12.6640625" customWidth="1"/>
    <col min="3" max="3" width="2.6640625" customWidth="1"/>
    <col min="4" max="4" width="14.6640625" customWidth="1"/>
    <col min="5" max="5" width="18.5" customWidth="1"/>
    <col min="6" max="37" width="14.6640625" customWidth="1"/>
    <col min="38" max="256" width="8.83203125" customWidth="1"/>
  </cols>
  <sheetData>
    <row r="1" spans="2:37">
      <c r="D1" s="141"/>
      <c r="E1" s="141"/>
      <c r="F1" s="159"/>
      <c r="G1" s="159"/>
      <c r="H1" s="158"/>
      <c r="I1" s="158"/>
      <c r="J1" s="158"/>
      <c r="K1" s="158"/>
      <c r="L1" s="158"/>
      <c r="M1" s="158"/>
      <c r="N1" s="158"/>
      <c r="O1" s="158"/>
      <c r="P1" s="158"/>
      <c r="Q1" s="158"/>
      <c r="R1" s="158"/>
      <c r="S1" s="158"/>
      <c r="T1" s="158"/>
      <c r="U1" s="158"/>
      <c r="V1" s="146" t="s">
        <v>223</v>
      </c>
      <c r="W1" s="146"/>
      <c r="X1" s="146"/>
      <c r="Y1" s="145">
        <f>F24</f>
        <v>5</v>
      </c>
      <c r="Z1" s="145">
        <f>G24</f>
        <v>6</v>
      </c>
      <c r="AA1" s="158"/>
      <c r="AB1" s="158"/>
      <c r="AC1" s="158"/>
      <c r="AD1" s="158"/>
      <c r="AE1" s="158"/>
      <c r="AF1" s="158"/>
      <c r="AG1" s="158"/>
      <c r="AH1" s="158"/>
      <c r="AI1" s="158"/>
      <c r="AJ1" s="158"/>
      <c r="AK1" s="158"/>
    </row>
    <row r="2" spans="2:37" ht="42" customHeight="1">
      <c r="B2" s="20"/>
      <c r="C2" s="65"/>
      <c r="D2" s="194" t="s">
        <v>239</v>
      </c>
      <c r="E2" s="194"/>
      <c r="F2" s="144">
        <f>VLOOKUP($D$2,$V$1:$Z$17,4)</f>
        <v>31</v>
      </c>
      <c r="G2" s="144">
        <f>VLOOKUP($D$2,$V$1:$Z$17,5)</f>
        <v>32</v>
      </c>
      <c r="H2" s="144"/>
      <c r="I2" s="144"/>
      <c r="J2" s="144"/>
      <c r="K2" s="144"/>
      <c r="L2" s="144"/>
      <c r="M2" s="144"/>
      <c r="N2" s="144"/>
      <c r="O2" s="144"/>
      <c r="P2" s="158"/>
      <c r="Q2" s="158"/>
      <c r="R2" s="158"/>
      <c r="S2" s="158"/>
      <c r="T2" s="158"/>
      <c r="U2" s="158"/>
      <c r="V2" s="146" t="s">
        <v>225</v>
      </c>
      <c r="W2" s="146"/>
      <c r="X2" s="146"/>
      <c r="Y2" s="145">
        <f>J24</f>
        <v>9</v>
      </c>
      <c r="Z2" s="145">
        <f>K24</f>
        <v>10</v>
      </c>
      <c r="AA2" s="158"/>
      <c r="AB2" s="158"/>
      <c r="AC2" s="158"/>
      <c r="AD2" s="158"/>
      <c r="AE2" s="158"/>
      <c r="AF2" s="158"/>
      <c r="AG2" s="158"/>
      <c r="AH2" s="158"/>
      <c r="AI2" s="158"/>
      <c r="AJ2" s="158"/>
      <c r="AK2" s="158"/>
    </row>
    <row r="3" spans="2:37" ht="51" customHeight="1">
      <c r="B3" s="20"/>
      <c r="C3" s="67"/>
      <c r="D3" s="195" t="s">
        <v>242</v>
      </c>
      <c r="E3" s="195"/>
      <c r="F3" s="144"/>
      <c r="G3" s="144"/>
      <c r="H3" s="144"/>
      <c r="I3" s="144"/>
      <c r="J3" s="144"/>
      <c r="K3" s="144"/>
      <c r="L3" s="144"/>
      <c r="M3" s="144"/>
      <c r="N3" s="144"/>
      <c r="O3" s="144"/>
      <c r="P3" s="158"/>
      <c r="Q3" s="158"/>
      <c r="R3" s="158"/>
      <c r="S3" s="158"/>
      <c r="T3" s="158"/>
      <c r="U3" s="158"/>
      <c r="V3" s="146" t="s">
        <v>224</v>
      </c>
      <c r="W3" s="146"/>
      <c r="X3" s="146"/>
      <c r="Y3" s="145">
        <f>H24</f>
        <v>7</v>
      </c>
      <c r="Z3" s="145">
        <f>I24</f>
        <v>8</v>
      </c>
      <c r="AA3" s="158"/>
      <c r="AB3" s="158"/>
      <c r="AC3" s="158"/>
      <c r="AD3" s="158"/>
      <c r="AE3" s="158"/>
      <c r="AF3" s="158"/>
      <c r="AG3" s="158"/>
      <c r="AH3" s="158"/>
      <c r="AI3" s="158"/>
      <c r="AJ3" s="158"/>
      <c r="AK3" s="158"/>
    </row>
    <row r="4" spans="2:37" ht="31.5" customHeight="1">
      <c r="B4" s="196" t="s">
        <v>229</v>
      </c>
      <c r="C4" s="196"/>
      <c r="D4" s="68" t="s">
        <v>230</v>
      </c>
      <c r="E4" s="69" t="s">
        <v>243</v>
      </c>
      <c r="F4" s="144"/>
      <c r="G4" s="144"/>
      <c r="H4" s="144"/>
      <c r="I4" s="144"/>
      <c r="J4" s="144"/>
      <c r="K4" s="144"/>
      <c r="L4" s="144"/>
      <c r="M4" s="144"/>
      <c r="N4" s="144"/>
      <c r="O4" s="144"/>
      <c r="P4" s="158"/>
      <c r="Q4" s="158"/>
      <c r="R4" s="158"/>
      <c r="S4" s="158"/>
      <c r="T4" s="158"/>
      <c r="U4" s="158"/>
      <c r="V4" s="146" t="s">
        <v>226</v>
      </c>
      <c r="W4" s="146"/>
      <c r="X4" s="146"/>
      <c r="Y4" s="145">
        <f>L24</f>
        <v>11</v>
      </c>
      <c r="Z4" s="145">
        <f>M24</f>
        <v>12</v>
      </c>
      <c r="AA4" s="158"/>
      <c r="AB4" s="158"/>
      <c r="AC4" s="158"/>
      <c r="AD4" s="158"/>
      <c r="AE4" s="158"/>
      <c r="AF4" s="158"/>
      <c r="AG4" s="158"/>
      <c r="AH4" s="158"/>
      <c r="AI4" s="158"/>
      <c r="AJ4" s="158"/>
      <c r="AK4" s="158"/>
    </row>
    <row r="5" spans="2:37" ht="18" customHeight="1">
      <c r="B5" s="87">
        <v>4</v>
      </c>
      <c r="C5" s="70"/>
      <c r="D5" s="71">
        <f>VLOOKUP($B5,$B$28:$AK$45,$F$2)</f>
        <v>0.09</v>
      </c>
      <c r="E5" s="72">
        <f>VLOOKUP($B5,$B$28:$AK$45,$G$2)</f>
        <v>1.63</v>
      </c>
      <c r="F5" s="144"/>
      <c r="G5" s="144"/>
      <c r="H5" s="144"/>
      <c r="I5" s="144"/>
      <c r="J5" s="144"/>
      <c r="K5" s="144"/>
      <c r="L5" s="144"/>
      <c r="M5" s="144"/>
      <c r="N5" s="144"/>
      <c r="O5" s="144"/>
      <c r="P5" s="158"/>
      <c r="Q5" s="158"/>
      <c r="R5" s="158"/>
      <c r="S5" s="158"/>
      <c r="T5" s="158"/>
      <c r="U5" s="158"/>
      <c r="V5" s="146" t="s">
        <v>455</v>
      </c>
      <c r="W5" s="146"/>
      <c r="X5" s="146"/>
      <c r="Y5" s="145">
        <f>N24</f>
        <v>13</v>
      </c>
      <c r="Z5" s="145">
        <f>O24</f>
        <v>14</v>
      </c>
      <c r="AA5" s="158"/>
      <c r="AB5" s="158"/>
      <c r="AC5" s="158"/>
      <c r="AD5" s="158"/>
      <c r="AE5" s="158"/>
      <c r="AF5" s="158"/>
      <c r="AG5" s="158"/>
      <c r="AH5" s="158"/>
      <c r="AI5" s="158"/>
      <c r="AJ5" s="158"/>
      <c r="AK5" s="158"/>
    </row>
    <row r="6" spans="2:37" ht="18" customHeight="1">
      <c r="B6" s="84">
        <v>5</v>
      </c>
      <c r="C6" s="73"/>
      <c r="D6" s="74">
        <f t="shared" ref="D6:D22" si="0">VLOOKUP($B6,$B$28:$AK$45,$F$2)</f>
        <v>0.14000000000000001</v>
      </c>
      <c r="E6" s="75">
        <f t="shared" ref="E6:E22" si="1">VLOOKUP($B6,$B$28:$AK$45,$G$2)</f>
        <v>1.95</v>
      </c>
      <c r="F6" s="144"/>
      <c r="G6" s="144"/>
      <c r="H6" s="144"/>
      <c r="I6" s="144"/>
      <c r="J6" s="144"/>
      <c r="K6" s="144"/>
      <c r="L6" s="144"/>
      <c r="M6" s="144"/>
      <c r="N6" s="144"/>
      <c r="O6" s="144"/>
      <c r="P6" s="158"/>
      <c r="Q6" s="158"/>
      <c r="R6" s="158"/>
      <c r="S6" s="158"/>
      <c r="T6" s="158"/>
      <c r="U6" s="158"/>
      <c r="V6" s="146" t="s">
        <v>460</v>
      </c>
      <c r="W6" s="146"/>
      <c r="X6" s="146"/>
      <c r="Y6" s="145">
        <f>P24</f>
        <v>15</v>
      </c>
      <c r="Z6" s="145">
        <f>Q24</f>
        <v>16</v>
      </c>
      <c r="AA6" s="158"/>
      <c r="AB6" s="158"/>
      <c r="AC6" s="158"/>
      <c r="AD6" s="158"/>
      <c r="AE6" s="158"/>
      <c r="AF6" s="158"/>
      <c r="AG6" s="158"/>
      <c r="AH6" s="158"/>
      <c r="AI6" s="158"/>
      <c r="AJ6" s="158"/>
      <c r="AK6" s="158"/>
    </row>
    <row r="7" spans="2:37" ht="18" customHeight="1">
      <c r="B7" s="87">
        <v>6</v>
      </c>
      <c r="C7" s="70"/>
      <c r="D7" s="71">
        <f t="shared" si="0"/>
        <v>0.2</v>
      </c>
      <c r="E7" s="72">
        <f t="shared" si="1"/>
        <v>3.07</v>
      </c>
      <c r="F7" s="144"/>
      <c r="G7" s="144"/>
      <c r="H7" s="144"/>
      <c r="I7" s="144"/>
      <c r="J7" s="144"/>
      <c r="K7" s="144"/>
      <c r="L7" s="144"/>
      <c r="M7" s="144"/>
      <c r="N7" s="144"/>
      <c r="O7" s="144"/>
      <c r="P7" s="158"/>
      <c r="Q7" s="158"/>
      <c r="R7" s="158"/>
      <c r="S7" s="158"/>
      <c r="T7" s="158"/>
      <c r="U7" s="158"/>
      <c r="V7" s="146" t="s">
        <v>461</v>
      </c>
      <c r="W7" s="146"/>
      <c r="X7" s="146"/>
      <c r="Y7" s="145">
        <f>R24</f>
        <v>17</v>
      </c>
      <c r="Z7" s="145">
        <f>S24</f>
        <v>18</v>
      </c>
      <c r="AA7" s="158"/>
      <c r="AB7" s="158"/>
      <c r="AC7" s="158"/>
      <c r="AD7" s="158"/>
      <c r="AE7" s="158"/>
      <c r="AF7" s="158"/>
      <c r="AG7" s="158"/>
      <c r="AH7" s="158"/>
      <c r="AI7" s="158"/>
      <c r="AJ7" s="158"/>
      <c r="AK7" s="158"/>
    </row>
    <row r="8" spans="2:37" ht="18" customHeight="1">
      <c r="B8" s="84">
        <v>7</v>
      </c>
      <c r="C8" s="73"/>
      <c r="D8" s="74">
        <f t="shared" si="0"/>
        <v>0.27</v>
      </c>
      <c r="E8" s="75">
        <f t="shared" si="1"/>
        <v>2.57</v>
      </c>
      <c r="F8" s="144"/>
      <c r="G8" s="144"/>
      <c r="H8" s="144"/>
      <c r="I8" s="144"/>
      <c r="J8" s="144"/>
      <c r="K8" s="144"/>
      <c r="L8" s="144"/>
      <c r="M8" s="144"/>
      <c r="N8" s="144"/>
      <c r="O8" s="144"/>
      <c r="P8" s="158"/>
      <c r="Q8" s="158"/>
      <c r="R8" s="158"/>
      <c r="S8" s="158"/>
      <c r="T8" s="158"/>
      <c r="U8" s="158"/>
      <c r="V8" s="146" t="s">
        <v>463</v>
      </c>
      <c r="W8" s="146"/>
      <c r="X8" s="146"/>
      <c r="Y8" s="145">
        <f>D24</f>
        <v>3</v>
      </c>
      <c r="Z8" s="145">
        <f>E24</f>
        <v>4</v>
      </c>
      <c r="AA8" s="158"/>
      <c r="AB8" s="158"/>
      <c r="AC8" s="158"/>
      <c r="AD8" s="158"/>
      <c r="AE8" s="158"/>
      <c r="AF8" s="158"/>
      <c r="AG8" s="158"/>
      <c r="AH8" s="158"/>
      <c r="AI8" s="158"/>
      <c r="AJ8" s="158"/>
      <c r="AK8" s="158"/>
    </row>
    <row r="9" spans="2:37" ht="18" customHeight="1">
      <c r="B9" s="87">
        <v>8</v>
      </c>
      <c r="C9" s="70"/>
      <c r="D9" s="71">
        <f t="shared" si="0"/>
        <v>0.35</v>
      </c>
      <c r="E9" s="72">
        <f t="shared" si="1"/>
        <v>2.39</v>
      </c>
      <c r="F9" s="144"/>
      <c r="G9" s="144"/>
      <c r="H9" s="144"/>
      <c r="I9" s="144"/>
      <c r="J9" s="144"/>
      <c r="K9" s="144"/>
      <c r="L9" s="144"/>
      <c r="M9" s="144"/>
      <c r="N9" s="144"/>
      <c r="O9" s="144"/>
      <c r="P9" s="158"/>
      <c r="Q9" s="158"/>
      <c r="R9" s="158"/>
      <c r="S9" s="158"/>
      <c r="T9" s="158"/>
      <c r="U9" s="158"/>
      <c r="V9" s="146" t="s">
        <v>233</v>
      </c>
      <c r="W9" s="146"/>
      <c r="X9" s="146"/>
      <c r="Y9" s="145">
        <f>T24</f>
        <v>19</v>
      </c>
      <c r="Z9" s="145">
        <f>U24</f>
        <v>20</v>
      </c>
      <c r="AA9" s="158"/>
      <c r="AB9" s="158"/>
      <c r="AC9" s="158"/>
      <c r="AD9" s="158"/>
      <c r="AE9" s="158"/>
      <c r="AF9" s="158"/>
      <c r="AG9" s="158"/>
      <c r="AH9" s="158"/>
      <c r="AI9" s="158"/>
      <c r="AJ9" s="158"/>
      <c r="AK9" s="158"/>
    </row>
    <row r="10" spans="2:37" ht="18" customHeight="1">
      <c r="B10" s="84">
        <v>9</v>
      </c>
      <c r="C10" s="73"/>
      <c r="D10" s="74">
        <f t="shared" si="0"/>
        <v>0.44</v>
      </c>
      <c r="E10" s="75">
        <f t="shared" si="1"/>
        <v>2.2999999999999998</v>
      </c>
      <c r="F10" s="144"/>
      <c r="G10" s="144"/>
      <c r="H10" s="144"/>
      <c r="I10" s="144"/>
      <c r="J10" s="144"/>
      <c r="K10" s="144"/>
      <c r="L10" s="144"/>
      <c r="M10" s="144"/>
      <c r="N10" s="144"/>
      <c r="O10" s="144"/>
      <c r="P10" s="158"/>
      <c r="Q10" s="158"/>
      <c r="R10" s="158"/>
      <c r="S10" s="158"/>
      <c r="T10" s="158"/>
      <c r="U10" s="158"/>
      <c r="V10" s="146" t="s">
        <v>234</v>
      </c>
      <c r="W10" s="146"/>
      <c r="X10" s="146"/>
      <c r="Y10" s="145">
        <f>V24</f>
        <v>21</v>
      </c>
      <c r="Z10" s="145">
        <f>W24</f>
        <v>22</v>
      </c>
      <c r="AA10" s="158"/>
      <c r="AB10" s="158"/>
      <c r="AC10" s="158"/>
      <c r="AD10" s="158"/>
      <c r="AE10" s="158"/>
      <c r="AF10" s="158"/>
      <c r="AG10" s="158"/>
      <c r="AH10" s="158"/>
      <c r="AI10" s="158"/>
      <c r="AJ10" s="158"/>
      <c r="AK10" s="158"/>
    </row>
    <row r="11" spans="2:37" ht="18" customHeight="1">
      <c r="B11" s="87">
        <v>10</v>
      </c>
      <c r="C11" s="70"/>
      <c r="D11" s="71">
        <f t="shared" si="0"/>
        <v>0.55000000000000004</v>
      </c>
      <c r="E11" s="72">
        <f t="shared" si="1"/>
        <v>2.31</v>
      </c>
      <c r="F11" s="144"/>
      <c r="G11" s="144"/>
      <c r="H11" s="144"/>
      <c r="I11" s="144"/>
      <c r="J11" s="144"/>
      <c r="K11" s="144"/>
      <c r="L11" s="144"/>
      <c r="M11" s="144"/>
      <c r="N11" s="144"/>
      <c r="O11" s="144"/>
      <c r="P11" s="158"/>
      <c r="Q11" s="158"/>
      <c r="R11" s="158"/>
      <c r="S11" s="158"/>
      <c r="T11" s="158"/>
      <c r="U11" s="158"/>
      <c r="V11" s="146" t="s">
        <v>235</v>
      </c>
      <c r="W11" s="146"/>
      <c r="X11" s="146"/>
      <c r="Y11" s="145">
        <f>X24</f>
        <v>23</v>
      </c>
      <c r="Z11" s="145">
        <f>Y24</f>
        <v>24</v>
      </c>
      <c r="AA11" s="158"/>
      <c r="AB11" s="158"/>
      <c r="AC11" s="158"/>
      <c r="AD11" s="158"/>
      <c r="AE11" s="158"/>
      <c r="AF11" s="158"/>
      <c r="AG11" s="158"/>
      <c r="AH11" s="158"/>
      <c r="AI11" s="158"/>
      <c r="AJ11" s="158"/>
      <c r="AK11" s="158"/>
    </row>
    <row r="12" spans="2:37" ht="18" customHeight="1">
      <c r="B12" s="84">
        <v>12</v>
      </c>
      <c r="C12" s="73"/>
      <c r="D12" s="74">
        <f t="shared" si="0"/>
        <v>0.79</v>
      </c>
      <c r="E12" s="75">
        <f t="shared" si="1"/>
        <v>2.76</v>
      </c>
      <c r="F12" s="144"/>
      <c r="G12" s="144"/>
      <c r="H12" s="144"/>
      <c r="I12" s="144"/>
      <c r="J12" s="144"/>
      <c r="K12" s="144"/>
      <c r="L12" s="144"/>
      <c r="M12" s="144"/>
      <c r="N12" s="144"/>
      <c r="O12" s="144"/>
      <c r="P12" s="158"/>
      <c r="Q12" s="158"/>
      <c r="R12" s="158"/>
      <c r="S12" s="158"/>
      <c r="T12" s="158"/>
      <c r="U12" s="158"/>
      <c r="V12" s="146" t="s">
        <v>236</v>
      </c>
      <c r="W12" s="146"/>
      <c r="X12" s="146"/>
      <c r="Y12" s="145">
        <f>Z24</f>
        <v>25</v>
      </c>
      <c r="Z12" s="145">
        <f>AA24</f>
        <v>26</v>
      </c>
      <c r="AA12" s="158"/>
      <c r="AB12" s="158"/>
      <c r="AC12" s="158"/>
      <c r="AD12" s="158"/>
      <c r="AE12" s="158"/>
      <c r="AF12" s="158"/>
      <c r="AG12" s="158"/>
      <c r="AH12" s="158"/>
      <c r="AI12" s="158"/>
      <c r="AJ12" s="158"/>
      <c r="AK12" s="158"/>
    </row>
    <row r="13" spans="2:37" ht="18" customHeight="1">
      <c r="B13" s="87">
        <v>14</v>
      </c>
      <c r="C13" s="70"/>
      <c r="D13" s="71">
        <f t="shared" si="0"/>
        <v>1.07</v>
      </c>
      <c r="E13" s="72">
        <f t="shared" si="1"/>
        <v>2.02</v>
      </c>
      <c r="F13" s="144"/>
      <c r="G13" s="144"/>
      <c r="H13" s="144"/>
      <c r="I13" s="144"/>
      <c r="J13" s="144"/>
      <c r="K13" s="144"/>
      <c r="L13" s="144"/>
      <c r="M13" s="144"/>
      <c r="N13" s="144"/>
      <c r="O13" s="144"/>
      <c r="P13" s="158"/>
      <c r="Q13" s="158"/>
      <c r="R13" s="158"/>
      <c r="S13" s="158"/>
      <c r="T13" s="158"/>
      <c r="U13" s="158"/>
      <c r="V13" s="146" t="s">
        <v>237</v>
      </c>
      <c r="W13" s="146"/>
      <c r="X13" s="146"/>
      <c r="Y13" s="145">
        <f>AB24</f>
        <v>27</v>
      </c>
      <c r="Z13" s="145">
        <f>AC24</f>
        <v>28</v>
      </c>
      <c r="AA13" s="158"/>
      <c r="AB13" s="158"/>
      <c r="AC13" s="158"/>
      <c r="AD13" s="158"/>
      <c r="AE13" s="158"/>
      <c r="AF13" s="158"/>
      <c r="AG13" s="158"/>
      <c r="AH13" s="158"/>
      <c r="AI13" s="158"/>
      <c r="AJ13" s="158"/>
      <c r="AK13" s="158"/>
    </row>
    <row r="14" spans="2:37" ht="18" customHeight="1">
      <c r="B14" s="84">
        <v>16</v>
      </c>
      <c r="C14" s="73"/>
      <c r="D14" s="74">
        <f t="shared" si="0"/>
        <v>1.4</v>
      </c>
      <c r="E14" s="75">
        <f t="shared" si="1"/>
        <v>1.1200000000000001</v>
      </c>
      <c r="F14" s="144"/>
      <c r="G14" s="144"/>
      <c r="H14" s="144"/>
      <c r="I14" s="144"/>
      <c r="J14" s="144"/>
      <c r="K14" s="144"/>
      <c r="L14" s="144"/>
      <c r="M14" s="144"/>
      <c r="N14" s="144"/>
      <c r="O14" s="144"/>
      <c r="P14" s="158"/>
      <c r="Q14" s="158"/>
      <c r="R14" s="158"/>
      <c r="S14" s="158"/>
      <c r="T14" s="158"/>
      <c r="U14" s="158"/>
      <c r="V14" s="146" t="s">
        <v>238</v>
      </c>
      <c r="W14" s="146"/>
      <c r="X14" s="146"/>
      <c r="Y14" s="145">
        <f>AD24</f>
        <v>29</v>
      </c>
      <c r="Z14" s="145">
        <f>AE24</f>
        <v>30</v>
      </c>
      <c r="AA14" s="158"/>
      <c r="AB14" s="158"/>
      <c r="AC14" s="158"/>
      <c r="AD14" s="158"/>
      <c r="AE14" s="158"/>
      <c r="AF14" s="158"/>
      <c r="AG14" s="158"/>
      <c r="AH14" s="158"/>
      <c r="AI14" s="158"/>
      <c r="AJ14" s="158"/>
      <c r="AK14" s="158"/>
    </row>
    <row r="15" spans="2:37" ht="18" customHeight="1">
      <c r="B15" s="87">
        <v>18</v>
      </c>
      <c r="C15" s="70"/>
      <c r="D15" s="71" t="str">
        <f t="shared" si="0"/>
        <v>n/a</v>
      </c>
      <c r="E15" s="72" t="str">
        <f t="shared" si="1"/>
        <v>n/a</v>
      </c>
      <c r="F15" s="144"/>
      <c r="G15" s="144"/>
      <c r="H15" s="144"/>
      <c r="I15" s="144"/>
      <c r="J15" s="144"/>
      <c r="K15" s="144"/>
      <c r="L15" s="144"/>
      <c r="M15" s="144"/>
      <c r="N15" s="144"/>
      <c r="O15" s="144"/>
      <c r="P15" s="158"/>
      <c r="Q15" s="158"/>
      <c r="R15" s="158"/>
      <c r="S15" s="158"/>
      <c r="T15" s="158"/>
      <c r="U15" s="158"/>
      <c r="V15" s="146" t="s">
        <v>239</v>
      </c>
      <c r="W15" s="146"/>
      <c r="X15" s="146"/>
      <c r="Y15" s="145">
        <f>AF24</f>
        <v>31</v>
      </c>
      <c r="Z15" s="145">
        <f>AG24</f>
        <v>32</v>
      </c>
      <c r="AA15" s="158"/>
      <c r="AB15" s="158"/>
      <c r="AC15" s="158"/>
      <c r="AD15" s="158"/>
      <c r="AE15" s="158"/>
      <c r="AF15" s="158"/>
      <c r="AG15" s="158"/>
      <c r="AH15" s="158"/>
      <c r="AI15" s="158"/>
      <c r="AJ15" s="158"/>
      <c r="AK15" s="158"/>
    </row>
    <row r="16" spans="2:37" ht="18" customHeight="1">
      <c r="B16" s="84">
        <v>19</v>
      </c>
      <c r="C16" s="73"/>
      <c r="D16" s="74" t="str">
        <f t="shared" si="0"/>
        <v>n/a</v>
      </c>
      <c r="E16" s="75" t="str">
        <f t="shared" si="1"/>
        <v>n/a</v>
      </c>
      <c r="F16" s="144"/>
      <c r="G16" s="144"/>
      <c r="H16" s="144"/>
      <c r="I16" s="144"/>
      <c r="J16" s="144"/>
      <c r="K16" s="144"/>
      <c r="L16" s="144"/>
      <c r="M16" s="144"/>
      <c r="N16" s="144"/>
      <c r="O16" s="144"/>
      <c r="P16" s="158"/>
      <c r="Q16" s="158"/>
      <c r="R16" s="158"/>
      <c r="S16" s="158"/>
      <c r="T16" s="158"/>
      <c r="U16" s="158"/>
      <c r="V16" s="146" t="s">
        <v>240</v>
      </c>
      <c r="W16" s="146"/>
      <c r="X16" s="146"/>
      <c r="Y16" s="145">
        <f>AH24</f>
        <v>33</v>
      </c>
      <c r="Z16" s="145">
        <f>AI24</f>
        <v>34</v>
      </c>
      <c r="AA16" s="158"/>
      <c r="AB16" s="158"/>
      <c r="AC16" s="158"/>
      <c r="AD16" s="158"/>
      <c r="AE16" s="158"/>
      <c r="AF16" s="158"/>
      <c r="AG16" s="158"/>
      <c r="AH16" s="158"/>
      <c r="AI16" s="158"/>
      <c r="AJ16" s="158"/>
      <c r="AK16" s="158"/>
    </row>
    <row r="17" spans="2:37" ht="18" customHeight="1">
      <c r="B17" s="87">
        <v>20</v>
      </c>
      <c r="C17" s="70"/>
      <c r="D17" s="71">
        <f t="shared" si="0"/>
        <v>0.78</v>
      </c>
      <c r="E17" s="72">
        <f t="shared" si="1"/>
        <v>2.19</v>
      </c>
      <c r="F17" s="144"/>
      <c r="G17" s="144"/>
      <c r="H17" s="144"/>
      <c r="I17" s="144"/>
      <c r="J17" s="144"/>
      <c r="K17" s="144"/>
      <c r="L17" s="144"/>
      <c r="M17" s="144"/>
      <c r="N17" s="144"/>
      <c r="O17" s="144"/>
      <c r="P17" s="158"/>
      <c r="Q17" s="158"/>
      <c r="R17" s="158"/>
      <c r="S17" s="158"/>
      <c r="T17" s="158"/>
      <c r="U17" s="158"/>
      <c r="V17" s="146" t="s">
        <v>458</v>
      </c>
      <c r="W17" s="146"/>
      <c r="X17" s="146"/>
      <c r="Y17" s="145">
        <f>AJ24</f>
        <v>35</v>
      </c>
      <c r="Z17" s="145">
        <f>AK24</f>
        <v>36</v>
      </c>
      <c r="AA17" s="158"/>
      <c r="AB17" s="158"/>
      <c r="AC17" s="158"/>
      <c r="AD17" s="158"/>
      <c r="AE17" s="158"/>
      <c r="AF17" s="158"/>
      <c r="AG17" s="158"/>
      <c r="AH17" s="158"/>
      <c r="AI17" s="158"/>
      <c r="AJ17" s="158"/>
      <c r="AK17" s="158"/>
    </row>
    <row r="18" spans="2:37" ht="18" customHeight="1">
      <c r="B18" s="84">
        <v>22</v>
      </c>
      <c r="C18" s="73"/>
      <c r="D18" s="74">
        <f t="shared" si="0"/>
        <v>0.78</v>
      </c>
      <c r="E18" s="75">
        <f t="shared" si="1"/>
        <v>2.19</v>
      </c>
      <c r="F18" s="144"/>
      <c r="G18" s="144"/>
      <c r="H18" s="144"/>
      <c r="I18" s="144"/>
      <c r="J18" s="144"/>
      <c r="K18" s="144"/>
      <c r="L18" s="144"/>
      <c r="M18" s="144"/>
      <c r="N18" s="144"/>
      <c r="O18" s="144"/>
      <c r="P18" s="158"/>
      <c r="Q18" s="158"/>
      <c r="R18" s="158"/>
      <c r="S18" s="158"/>
      <c r="T18" s="158"/>
      <c r="U18" s="158"/>
      <c r="V18" s="158"/>
      <c r="W18" s="158"/>
      <c r="X18" s="158"/>
      <c r="Y18" s="158"/>
      <c r="Z18" s="158"/>
      <c r="AA18" s="158"/>
      <c r="AB18" s="158"/>
      <c r="AC18" s="158"/>
      <c r="AD18" s="158"/>
      <c r="AE18" s="158"/>
      <c r="AF18" s="158"/>
      <c r="AG18" s="158"/>
      <c r="AH18" s="158"/>
      <c r="AI18" s="158"/>
      <c r="AJ18" s="158"/>
      <c r="AK18" s="158"/>
    </row>
    <row r="19" spans="2:37" ht="18" customHeight="1">
      <c r="B19" s="87">
        <v>24</v>
      </c>
      <c r="C19" s="70"/>
      <c r="D19" s="71" t="str">
        <f t="shared" si="0"/>
        <v>n/a</v>
      </c>
      <c r="E19" s="72" t="str">
        <f t="shared" si="1"/>
        <v>n/a</v>
      </c>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row>
    <row r="20" spans="2:37" ht="18" customHeight="1">
      <c r="B20" s="84">
        <v>26</v>
      </c>
      <c r="C20" s="73"/>
      <c r="D20" s="74">
        <f t="shared" si="0"/>
        <v>1</v>
      </c>
      <c r="E20" s="75">
        <f t="shared" si="1"/>
        <v>2.57</v>
      </c>
      <c r="F20" s="144"/>
      <c r="G20" s="144"/>
      <c r="H20" s="144"/>
      <c r="I20" s="144"/>
      <c r="J20" s="144"/>
      <c r="K20" s="144"/>
      <c r="L20" s="144"/>
      <c r="M20" s="144"/>
      <c r="N20" s="144"/>
      <c r="O20" s="144"/>
      <c r="P20" s="158"/>
      <c r="Q20" s="158"/>
      <c r="R20" s="158"/>
      <c r="S20" s="158"/>
      <c r="T20" s="158"/>
      <c r="U20" s="158"/>
      <c r="V20" s="158"/>
      <c r="W20" s="158"/>
      <c r="X20" s="158"/>
      <c r="Y20" s="158"/>
      <c r="Z20" s="158"/>
      <c r="AA20" s="158"/>
      <c r="AB20" s="158"/>
      <c r="AC20" s="158"/>
      <c r="AD20" s="158"/>
      <c r="AE20" s="158"/>
      <c r="AF20" s="158"/>
      <c r="AG20" s="158"/>
      <c r="AH20" s="158"/>
      <c r="AI20" s="158"/>
      <c r="AJ20" s="158"/>
      <c r="AK20" s="158"/>
    </row>
    <row r="21" spans="2:37" ht="18" customHeight="1">
      <c r="B21" s="87">
        <v>30</v>
      </c>
      <c r="C21" s="70"/>
      <c r="D21" s="71" t="str">
        <f t="shared" si="0"/>
        <v>n/a</v>
      </c>
      <c r="E21" s="72" t="str">
        <f t="shared" si="1"/>
        <v>n/a</v>
      </c>
      <c r="F21" s="144"/>
      <c r="G21" s="144"/>
      <c r="H21" s="144"/>
      <c r="I21" s="144"/>
      <c r="J21" s="144"/>
      <c r="K21" s="144"/>
      <c r="L21" s="144"/>
      <c r="M21" s="144"/>
      <c r="N21" s="144"/>
      <c r="O21" s="144"/>
      <c r="P21" s="158"/>
      <c r="Q21" s="158"/>
      <c r="R21" s="158"/>
      <c r="S21" s="158"/>
      <c r="T21" s="158"/>
      <c r="U21" s="158"/>
      <c r="V21" s="158"/>
      <c r="W21" s="158"/>
      <c r="X21" s="158"/>
      <c r="Y21" s="158"/>
      <c r="Z21" s="158"/>
      <c r="AA21" s="158"/>
      <c r="AB21" s="158"/>
      <c r="AC21" s="158"/>
      <c r="AD21" s="158"/>
      <c r="AE21" s="158"/>
      <c r="AF21" s="158"/>
      <c r="AG21" s="158"/>
      <c r="AH21" s="158"/>
      <c r="AI21" s="158"/>
      <c r="AJ21" s="158"/>
      <c r="AK21" s="158"/>
    </row>
    <row r="22" spans="2:37" ht="18" customHeight="1">
      <c r="B22" s="88">
        <v>40</v>
      </c>
      <c r="C22" s="76"/>
      <c r="D22" s="77">
        <f t="shared" si="0"/>
        <v>2.67</v>
      </c>
      <c r="E22" s="78">
        <f t="shared" si="1"/>
        <v>2.2200000000000002</v>
      </c>
      <c r="F22" s="144"/>
      <c r="G22" s="144"/>
      <c r="H22" s="144"/>
      <c r="I22" s="144"/>
      <c r="J22" s="144"/>
      <c r="K22" s="144"/>
      <c r="L22" s="144"/>
      <c r="M22" s="144"/>
      <c r="N22" s="144"/>
      <c r="O22" s="144"/>
      <c r="P22" s="158"/>
      <c r="Q22" s="158"/>
      <c r="R22" s="158"/>
      <c r="S22" s="158"/>
      <c r="T22" s="158"/>
      <c r="U22" s="158"/>
      <c r="V22" s="158"/>
      <c r="W22" s="158"/>
      <c r="X22" s="158"/>
      <c r="Y22" s="158"/>
      <c r="Z22" s="158"/>
      <c r="AA22" s="158"/>
      <c r="AB22" s="158"/>
      <c r="AC22" s="158"/>
      <c r="AD22" s="158"/>
      <c r="AE22" s="158"/>
      <c r="AF22" s="158"/>
      <c r="AG22" s="158"/>
      <c r="AH22" s="158"/>
      <c r="AI22" s="158"/>
      <c r="AJ22" s="158"/>
      <c r="AK22" s="158"/>
    </row>
    <row r="23" spans="2:37" ht="18" hidden="1" customHeight="1">
      <c r="B23" s="151"/>
      <c r="C23" s="152"/>
      <c r="D23" s="153"/>
      <c r="E23" s="154"/>
      <c r="F23" s="155"/>
      <c r="G23" s="155"/>
      <c r="H23" s="155"/>
      <c r="I23" s="155"/>
      <c r="J23" s="155"/>
      <c r="K23" s="155"/>
      <c r="L23" s="155"/>
      <c r="M23" s="155"/>
      <c r="N23" s="155"/>
      <c r="O23" s="155"/>
      <c r="P23" s="150"/>
      <c r="Q23" s="150"/>
      <c r="R23" s="150"/>
      <c r="S23" s="150"/>
      <c r="T23" s="150"/>
      <c r="U23" s="150"/>
      <c r="V23" s="150"/>
    </row>
    <row r="24" spans="2:37" s="158" customFormat="1" ht="18" hidden="1" customHeight="1">
      <c r="B24" s="156"/>
      <c r="C24" s="157"/>
      <c r="D24" s="144">
        <v>3</v>
      </c>
      <c r="E24" s="144">
        <v>4</v>
      </c>
      <c r="F24" s="144">
        <v>5</v>
      </c>
      <c r="G24" s="144">
        <v>6</v>
      </c>
      <c r="H24" s="144">
        <v>7</v>
      </c>
      <c r="I24" s="144">
        <v>8</v>
      </c>
      <c r="J24" s="144">
        <v>9</v>
      </c>
      <c r="K24" s="144">
        <v>10</v>
      </c>
      <c r="L24" s="144">
        <v>11</v>
      </c>
      <c r="M24" s="144">
        <v>12</v>
      </c>
      <c r="N24" s="144">
        <v>13</v>
      </c>
      <c r="O24" s="144">
        <v>14</v>
      </c>
      <c r="P24" s="144">
        <v>15</v>
      </c>
      <c r="Q24" s="144">
        <v>16</v>
      </c>
      <c r="R24" s="144">
        <v>17</v>
      </c>
      <c r="S24" s="144">
        <v>18</v>
      </c>
      <c r="T24" s="144">
        <v>19</v>
      </c>
      <c r="U24" s="144">
        <v>20</v>
      </c>
      <c r="V24" s="144">
        <v>21</v>
      </c>
      <c r="W24" s="144">
        <v>22</v>
      </c>
      <c r="X24" s="144">
        <v>23</v>
      </c>
      <c r="Y24" s="144">
        <v>24</v>
      </c>
      <c r="Z24" s="144">
        <v>25</v>
      </c>
      <c r="AA24" s="144">
        <v>26</v>
      </c>
      <c r="AB24" s="144">
        <v>27</v>
      </c>
      <c r="AC24" s="144">
        <v>28</v>
      </c>
      <c r="AD24" s="144">
        <v>29</v>
      </c>
      <c r="AE24" s="144">
        <v>30</v>
      </c>
      <c r="AF24" s="144">
        <v>31</v>
      </c>
      <c r="AG24" s="144">
        <v>32</v>
      </c>
      <c r="AH24" s="144">
        <v>33</v>
      </c>
      <c r="AI24" s="144">
        <v>34</v>
      </c>
      <c r="AJ24" s="144">
        <v>35</v>
      </c>
      <c r="AK24" s="144">
        <v>36</v>
      </c>
    </row>
    <row r="25" spans="2:37" ht="18" customHeight="1">
      <c r="B25" s="20"/>
      <c r="C25" s="20"/>
      <c r="D25" s="197" t="s">
        <v>462</v>
      </c>
      <c r="E25" s="198"/>
      <c r="F25" s="192" t="s">
        <v>223</v>
      </c>
      <c r="G25" s="193"/>
      <c r="H25" s="192" t="s">
        <v>224</v>
      </c>
      <c r="I25" s="193"/>
      <c r="J25" s="189" t="s">
        <v>225</v>
      </c>
      <c r="K25" s="191"/>
      <c r="L25" s="189" t="s">
        <v>226</v>
      </c>
      <c r="M25" s="190"/>
      <c r="N25" s="189" t="s">
        <v>227</v>
      </c>
      <c r="O25" s="190"/>
      <c r="P25" s="189" t="s">
        <v>228</v>
      </c>
      <c r="Q25" s="191"/>
      <c r="R25" s="192" t="s">
        <v>232</v>
      </c>
      <c r="S25" s="193"/>
      <c r="T25" s="192" t="s">
        <v>233</v>
      </c>
      <c r="U25" s="193"/>
      <c r="V25" s="189" t="s">
        <v>234</v>
      </c>
      <c r="W25" s="191"/>
      <c r="X25" s="189" t="s">
        <v>235</v>
      </c>
      <c r="Y25" s="190"/>
      <c r="Z25" s="189" t="s">
        <v>236</v>
      </c>
      <c r="AA25" s="190"/>
      <c r="AB25" s="189" t="s">
        <v>237</v>
      </c>
      <c r="AC25" s="191"/>
      <c r="AD25" s="192" t="s">
        <v>238</v>
      </c>
      <c r="AE25" s="193"/>
      <c r="AF25" s="192" t="s">
        <v>239</v>
      </c>
      <c r="AG25" s="193"/>
      <c r="AH25" s="189" t="s">
        <v>240</v>
      </c>
      <c r="AI25" s="191"/>
      <c r="AJ25" s="189" t="s">
        <v>241</v>
      </c>
      <c r="AK25" s="190"/>
    </row>
    <row r="26" spans="2:37" ht="42" customHeight="1">
      <c r="B26" s="199" t="s">
        <v>229</v>
      </c>
      <c r="C26" s="199"/>
      <c r="D26" s="197"/>
      <c r="E26" s="198"/>
      <c r="F26" s="192"/>
      <c r="G26" s="193"/>
      <c r="H26" s="192"/>
      <c r="I26" s="193"/>
      <c r="J26" s="189"/>
      <c r="K26" s="191"/>
      <c r="L26" s="189"/>
      <c r="M26" s="190"/>
      <c r="N26" s="189"/>
      <c r="O26" s="190"/>
      <c r="P26" s="189"/>
      <c r="Q26" s="191"/>
      <c r="R26" s="192"/>
      <c r="S26" s="193"/>
      <c r="T26" s="192"/>
      <c r="U26" s="193"/>
      <c r="V26" s="189"/>
      <c r="W26" s="191"/>
      <c r="X26" s="189"/>
      <c r="Y26" s="190"/>
      <c r="Z26" s="189"/>
      <c r="AA26" s="190"/>
      <c r="AB26" s="189"/>
      <c r="AC26" s="191"/>
      <c r="AD26" s="192"/>
      <c r="AE26" s="193"/>
      <c r="AF26" s="192"/>
      <c r="AG26" s="193"/>
      <c r="AH26" s="189"/>
      <c r="AI26" s="191"/>
      <c r="AJ26" s="189"/>
      <c r="AK26" s="190"/>
    </row>
    <row r="27" spans="2:37" ht="18" customHeight="1">
      <c r="B27" s="199"/>
      <c r="C27" s="199"/>
      <c r="D27" s="68" t="s">
        <v>230</v>
      </c>
      <c r="E27" s="79" t="s">
        <v>231</v>
      </c>
      <c r="F27" s="68" t="s">
        <v>230</v>
      </c>
      <c r="G27" s="79" t="s">
        <v>231</v>
      </c>
      <c r="H27" s="68" t="s">
        <v>230</v>
      </c>
      <c r="I27" s="79" t="s">
        <v>231</v>
      </c>
      <c r="J27" s="68" t="s">
        <v>230</v>
      </c>
      <c r="K27" s="80" t="s">
        <v>231</v>
      </c>
      <c r="L27" s="68" t="s">
        <v>230</v>
      </c>
      <c r="M27" s="79" t="s">
        <v>231</v>
      </c>
      <c r="N27" s="68" t="s">
        <v>230</v>
      </c>
      <c r="O27" s="79" t="s">
        <v>231</v>
      </c>
      <c r="P27" s="68" t="s">
        <v>230</v>
      </c>
      <c r="Q27" s="80" t="s">
        <v>231</v>
      </c>
      <c r="R27" s="68" t="s">
        <v>230</v>
      </c>
      <c r="S27" s="79" t="s">
        <v>231</v>
      </c>
      <c r="T27" s="68" t="s">
        <v>230</v>
      </c>
      <c r="U27" s="79" t="s">
        <v>231</v>
      </c>
      <c r="V27" s="68" t="s">
        <v>230</v>
      </c>
      <c r="W27" s="80" t="s">
        <v>231</v>
      </c>
      <c r="X27" s="68" t="s">
        <v>230</v>
      </c>
      <c r="Y27" s="79" t="s">
        <v>231</v>
      </c>
      <c r="Z27" s="68" t="s">
        <v>230</v>
      </c>
      <c r="AA27" s="79" t="s">
        <v>231</v>
      </c>
      <c r="AB27" s="68" t="s">
        <v>230</v>
      </c>
      <c r="AC27" s="80" t="s">
        <v>231</v>
      </c>
      <c r="AD27" s="68" t="s">
        <v>230</v>
      </c>
      <c r="AE27" s="79" t="s">
        <v>231</v>
      </c>
      <c r="AF27" s="68" t="s">
        <v>230</v>
      </c>
      <c r="AG27" s="79" t="s">
        <v>231</v>
      </c>
      <c r="AH27" s="68" t="s">
        <v>230</v>
      </c>
      <c r="AI27" s="80" t="s">
        <v>231</v>
      </c>
      <c r="AJ27" s="68" t="s">
        <v>230</v>
      </c>
      <c r="AK27" s="79" t="s">
        <v>231</v>
      </c>
    </row>
    <row r="28" spans="2:37" ht="18" customHeight="1">
      <c r="B28" s="81">
        <v>4</v>
      </c>
      <c r="C28" s="82"/>
      <c r="D28" s="71">
        <f t="shared" ref="D28:D45" si="2">(PI()*(B28/2)^2)/144</f>
        <v>8.7266462599716474E-2</v>
      </c>
      <c r="E28" s="45">
        <f>SUBTOTAL(1,G28,I28,K28,M28,O28,Q28,S28,U28,W28,Y28,AA28,AC28,AE28,AG28,AI28,AK28)</f>
        <v>1.9955555555555557</v>
      </c>
      <c r="F28" s="44" t="s">
        <v>32</v>
      </c>
      <c r="G28" s="45" t="s">
        <v>32</v>
      </c>
      <c r="H28" s="44" t="s">
        <v>32</v>
      </c>
      <c r="I28" s="45" t="s">
        <v>32</v>
      </c>
      <c r="J28" s="44" t="s">
        <v>32</v>
      </c>
      <c r="K28" s="46" t="s">
        <v>32</v>
      </c>
      <c r="L28" s="70">
        <v>0.09</v>
      </c>
      <c r="M28" s="83">
        <v>2.2599999999999998</v>
      </c>
      <c r="N28" s="70">
        <v>0.09</v>
      </c>
      <c r="O28" s="83">
        <v>1</v>
      </c>
      <c r="P28" s="70">
        <v>0.09</v>
      </c>
      <c r="Q28" s="72">
        <v>1.71</v>
      </c>
      <c r="R28" s="93">
        <v>0.08</v>
      </c>
      <c r="S28" s="94">
        <v>1.63</v>
      </c>
      <c r="T28" s="93">
        <v>0.09</v>
      </c>
      <c r="U28" s="94">
        <v>2.3199999999999998</v>
      </c>
      <c r="V28" s="44" t="s">
        <v>32</v>
      </c>
      <c r="W28" s="46" t="s">
        <v>32</v>
      </c>
      <c r="X28" s="70">
        <v>0.09</v>
      </c>
      <c r="Y28" s="83">
        <v>2.92</v>
      </c>
      <c r="Z28" s="44" t="s">
        <v>32</v>
      </c>
      <c r="AA28" s="45" t="s">
        <v>32</v>
      </c>
      <c r="AB28" s="44" t="s">
        <v>32</v>
      </c>
      <c r="AC28" s="46" t="s">
        <v>32</v>
      </c>
      <c r="AD28" s="44" t="s">
        <v>32</v>
      </c>
      <c r="AE28" s="45" t="s">
        <v>32</v>
      </c>
      <c r="AF28" s="93">
        <v>0.09</v>
      </c>
      <c r="AG28" s="94">
        <v>1.63</v>
      </c>
      <c r="AH28" s="93">
        <v>0.09</v>
      </c>
      <c r="AI28" s="97">
        <v>2.8</v>
      </c>
      <c r="AJ28" s="70">
        <v>0.09</v>
      </c>
      <c r="AK28" s="83">
        <v>1.69</v>
      </c>
    </row>
    <row r="29" spans="2:37" ht="18" customHeight="1">
      <c r="B29" s="84">
        <v>5</v>
      </c>
      <c r="C29" s="85"/>
      <c r="D29" s="74">
        <f t="shared" si="2"/>
        <v>0.13635384781205701</v>
      </c>
      <c r="E29" s="86">
        <f t="shared" ref="E29:E45" si="3">SUBTOTAL(1,G29,I29,K29,M29,O29,Q29,S29,U29,W29,Y29,AA29,AC29,AE29,AG29,AI29,AK29)</f>
        <v>2.1564285714285716</v>
      </c>
      <c r="F29" s="73">
        <v>0.13</v>
      </c>
      <c r="G29" s="86">
        <v>3.28</v>
      </c>
      <c r="H29" s="73">
        <v>0.13</v>
      </c>
      <c r="I29" s="86">
        <v>2.42</v>
      </c>
      <c r="J29" s="73">
        <v>0.13</v>
      </c>
      <c r="K29" s="75">
        <v>2.42</v>
      </c>
      <c r="L29" s="73">
        <v>0.14000000000000001</v>
      </c>
      <c r="M29" s="86">
        <v>2.2599999999999998</v>
      </c>
      <c r="N29" s="73">
        <v>0.14000000000000001</v>
      </c>
      <c r="O29" s="86">
        <v>1.47</v>
      </c>
      <c r="P29" s="73">
        <v>0.14000000000000001</v>
      </c>
      <c r="Q29" s="75">
        <v>1.69</v>
      </c>
      <c r="R29" s="73">
        <v>0.13</v>
      </c>
      <c r="S29" s="86">
        <v>1.66</v>
      </c>
      <c r="T29" s="73">
        <v>0.14000000000000001</v>
      </c>
      <c r="U29" s="86">
        <v>2.31</v>
      </c>
      <c r="V29" s="47" t="s">
        <v>32</v>
      </c>
      <c r="W29" s="48" t="s">
        <v>32</v>
      </c>
      <c r="X29" s="73">
        <v>0.14000000000000001</v>
      </c>
      <c r="Y29" s="86">
        <v>2.99</v>
      </c>
      <c r="Z29" s="53" t="s">
        <v>32</v>
      </c>
      <c r="AA29" s="54" t="s">
        <v>32</v>
      </c>
      <c r="AB29" s="73">
        <v>0.14000000000000001</v>
      </c>
      <c r="AC29" s="75">
        <v>1.62</v>
      </c>
      <c r="AD29" s="73">
        <v>0.14000000000000001</v>
      </c>
      <c r="AE29" s="86">
        <v>1.62</v>
      </c>
      <c r="AF29" s="73">
        <v>0.14000000000000001</v>
      </c>
      <c r="AG29" s="86">
        <v>1.95</v>
      </c>
      <c r="AH29" s="73">
        <v>0.14000000000000001</v>
      </c>
      <c r="AI29" s="75">
        <v>3</v>
      </c>
      <c r="AJ29" s="73">
        <v>0.14000000000000001</v>
      </c>
      <c r="AK29" s="86">
        <v>1.5</v>
      </c>
    </row>
    <row r="30" spans="2:37" ht="18" customHeight="1">
      <c r="B30" s="87">
        <v>6</v>
      </c>
      <c r="C30" s="82"/>
      <c r="D30" s="71">
        <f t="shared" si="2"/>
        <v>0.19634954084936207</v>
      </c>
      <c r="E30" s="83">
        <f t="shared" si="3"/>
        <v>2.3918750000000002</v>
      </c>
      <c r="F30" s="70">
        <v>0.19</v>
      </c>
      <c r="G30" s="83">
        <v>2.58</v>
      </c>
      <c r="H30" s="70">
        <v>0.19</v>
      </c>
      <c r="I30" s="83">
        <v>2.37</v>
      </c>
      <c r="J30" s="70">
        <v>0.19</v>
      </c>
      <c r="K30" s="72">
        <v>2.37</v>
      </c>
      <c r="L30" s="70">
        <v>0.2</v>
      </c>
      <c r="M30" s="83">
        <v>2.4500000000000002</v>
      </c>
      <c r="N30" s="70">
        <v>0.2</v>
      </c>
      <c r="O30" s="83">
        <v>2.8</v>
      </c>
      <c r="P30" s="70">
        <v>0.2</v>
      </c>
      <c r="Q30" s="72">
        <v>1.67</v>
      </c>
      <c r="R30" s="70">
        <v>0.18</v>
      </c>
      <c r="S30" s="83">
        <v>2.9</v>
      </c>
      <c r="T30" s="70">
        <v>0.2</v>
      </c>
      <c r="U30" s="83">
        <v>2.3199999999999998</v>
      </c>
      <c r="V30" s="70">
        <v>0.18</v>
      </c>
      <c r="W30" s="72">
        <v>1.5</v>
      </c>
      <c r="X30" s="70">
        <v>0.2</v>
      </c>
      <c r="Y30" s="83">
        <v>3.08</v>
      </c>
      <c r="Z30" s="70">
        <v>0.2</v>
      </c>
      <c r="AA30" s="83">
        <v>2.39</v>
      </c>
      <c r="AB30" s="70">
        <v>0.2</v>
      </c>
      <c r="AC30" s="72">
        <v>1.78</v>
      </c>
      <c r="AD30" s="70">
        <v>0.2</v>
      </c>
      <c r="AE30" s="83">
        <v>1.78</v>
      </c>
      <c r="AF30" s="70">
        <v>0.2</v>
      </c>
      <c r="AG30" s="83">
        <v>3.07</v>
      </c>
      <c r="AH30" s="70">
        <v>0.2</v>
      </c>
      <c r="AI30" s="72">
        <v>2.9</v>
      </c>
      <c r="AJ30" s="70">
        <v>0.2</v>
      </c>
      <c r="AK30" s="83">
        <v>2.31</v>
      </c>
    </row>
    <row r="31" spans="2:37" ht="18" customHeight="1">
      <c r="B31" s="84">
        <v>7</v>
      </c>
      <c r="C31" s="85"/>
      <c r="D31" s="74">
        <f t="shared" si="2"/>
        <v>0.26725354171163168</v>
      </c>
      <c r="E31" s="86">
        <f t="shared" si="3"/>
        <v>2.3854545454545457</v>
      </c>
      <c r="F31" s="73">
        <v>0.26</v>
      </c>
      <c r="G31" s="86">
        <v>2.85</v>
      </c>
      <c r="H31" s="73">
        <v>0.26</v>
      </c>
      <c r="I31" s="86">
        <v>2.4</v>
      </c>
      <c r="J31" s="73">
        <v>0.26</v>
      </c>
      <c r="K31" s="75">
        <v>2.4</v>
      </c>
      <c r="L31" s="73">
        <v>0.27</v>
      </c>
      <c r="M31" s="86">
        <v>2.27</v>
      </c>
      <c r="N31" s="73">
        <v>0.27</v>
      </c>
      <c r="O31" s="86">
        <v>2.34</v>
      </c>
      <c r="P31" s="47" t="s">
        <v>32</v>
      </c>
      <c r="Q31" s="48" t="s">
        <v>32</v>
      </c>
      <c r="R31" s="47" t="s">
        <v>32</v>
      </c>
      <c r="S31" s="49" t="s">
        <v>32</v>
      </c>
      <c r="T31" s="73">
        <v>0.27</v>
      </c>
      <c r="U31" s="86">
        <v>2.3199999999999998</v>
      </c>
      <c r="V31" s="47" t="s">
        <v>32</v>
      </c>
      <c r="W31" s="48" t="s">
        <v>32</v>
      </c>
      <c r="X31" s="73">
        <v>0.27</v>
      </c>
      <c r="Y31" s="86">
        <v>2.85</v>
      </c>
      <c r="Z31" s="53" t="s">
        <v>32</v>
      </c>
      <c r="AA31" s="54" t="s">
        <v>32</v>
      </c>
      <c r="AB31" s="73">
        <v>0.27</v>
      </c>
      <c r="AC31" s="75">
        <v>1.62</v>
      </c>
      <c r="AD31" s="73">
        <v>0.27</v>
      </c>
      <c r="AE31" s="86">
        <v>1.62</v>
      </c>
      <c r="AF31" s="73">
        <v>0.27</v>
      </c>
      <c r="AG31" s="86">
        <v>2.57</v>
      </c>
      <c r="AH31" s="73">
        <v>0.27</v>
      </c>
      <c r="AI31" s="75">
        <v>3</v>
      </c>
      <c r="AJ31" s="47" t="s">
        <v>32</v>
      </c>
      <c r="AK31" s="49" t="s">
        <v>32</v>
      </c>
    </row>
    <row r="32" spans="2:37" ht="18" customHeight="1">
      <c r="B32" s="87">
        <v>8</v>
      </c>
      <c r="C32" s="82"/>
      <c r="D32" s="71">
        <f t="shared" si="2"/>
        <v>0.3490658503988659</v>
      </c>
      <c r="E32" s="83">
        <f t="shared" si="3"/>
        <v>2.1875</v>
      </c>
      <c r="F32" s="70">
        <v>0.34</v>
      </c>
      <c r="G32" s="83">
        <v>2.44</v>
      </c>
      <c r="H32" s="70">
        <v>0.34</v>
      </c>
      <c r="I32" s="83">
        <v>2.2000000000000002</v>
      </c>
      <c r="J32" s="70">
        <v>0.34</v>
      </c>
      <c r="K32" s="72">
        <v>2.2000000000000002</v>
      </c>
      <c r="L32" s="70">
        <v>0.35</v>
      </c>
      <c r="M32" s="83">
        <v>2.27</v>
      </c>
      <c r="N32" s="70">
        <v>0.35</v>
      </c>
      <c r="O32" s="83">
        <v>2.2400000000000002</v>
      </c>
      <c r="P32" s="70">
        <v>0.35</v>
      </c>
      <c r="Q32" s="72">
        <v>1.61</v>
      </c>
      <c r="R32" s="70">
        <v>0.33</v>
      </c>
      <c r="S32" s="83">
        <v>2.52</v>
      </c>
      <c r="T32" s="70">
        <v>0.35</v>
      </c>
      <c r="U32" s="83">
        <v>2.33</v>
      </c>
      <c r="V32" s="70">
        <v>0.33</v>
      </c>
      <c r="W32" s="72">
        <v>1.46</v>
      </c>
      <c r="X32" s="70">
        <v>0.35</v>
      </c>
      <c r="Y32" s="83">
        <v>2.65</v>
      </c>
      <c r="Z32" s="70">
        <v>0.35</v>
      </c>
      <c r="AA32" s="83">
        <v>2.89</v>
      </c>
      <c r="AB32" s="70">
        <v>0.35</v>
      </c>
      <c r="AC32" s="72">
        <v>1.36</v>
      </c>
      <c r="AD32" s="70">
        <v>0.35</v>
      </c>
      <c r="AE32" s="83">
        <v>1.36</v>
      </c>
      <c r="AF32" s="70">
        <v>0.35</v>
      </c>
      <c r="AG32" s="83">
        <v>2.39</v>
      </c>
      <c r="AH32" s="70">
        <v>0.35</v>
      </c>
      <c r="AI32" s="72">
        <v>2.9</v>
      </c>
      <c r="AJ32" s="70">
        <v>0.35</v>
      </c>
      <c r="AK32" s="83">
        <v>2.1800000000000002</v>
      </c>
    </row>
    <row r="33" spans="2:37" ht="18" customHeight="1">
      <c r="B33" s="84">
        <v>9</v>
      </c>
      <c r="C33" s="85"/>
      <c r="D33" s="74">
        <f t="shared" si="2"/>
        <v>0.44178646691106466</v>
      </c>
      <c r="E33" s="86">
        <f t="shared" si="3"/>
        <v>2.3000000000000003</v>
      </c>
      <c r="F33" s="73">
        <v>0.43</v>
      </c>
      <c r="G33" s="86">
        <v>2.46</v>
      </c>
      <c r="H33" s="47" t="s">
        <v>32</v>
      </c>
      <c r="I33" s="49" t="s">
        <v>32</v>
      </c>
      <c r="J33" s="47" t="s">
        <v>32</v>
      </c>
      <c r="K33" s="48" t="s">
        <v>32</v>
      </c>
      <c r="L33" s="73">
        <v>0.44</v>
      </c>
      <c r="M33" s="86">
        <v>2.27</v>
      </c>
      <c r="N33" s="73">
        <v>0.44</v>
      </c>
      <c r="O33" s="86">
        <v>2.21</v>
      </c>
      <c r="P33" s="47" t="s">
        <v>32</v>
      </c>
      <c r="Q33" s="48" t="s">
        <v>32</v>
      </c>
      <c r="R33" s="47" t="s">
        <v>32</v>
      </c>
      <c r="S33" s="49" t="s">
        <v>32</v>
      </c>
      <c r="T33" s="95">
        <v>0.44</v>
      </c>
      <c r="U33" s="96">
        <v>2.33</v>
      </c>
      <c r="V33" s="47" t="s">
        <v>32</v>
      </c>
      <c r="W33" s="48" t="s">
        <v>32</v>
      </c>
      <c r="X33" s="73">
        <v>0.44</v>
      </c>
      <c r="Y33" s="86">
        <v>2.23</v>
      </c>
      <c r="Z33" s="47" t="s">
        <v>32</v>
      </c>
      <c r="AA33" s="49" t="s">
        <v>32</v>
      </c>
      <c r="AB33" s="47" t="s">
        <v>32</v>
      </c>
      <c r="AC33" s="48" t="s">
        <v>32</v>
      </c>
      <c r="AD33" s="47" t="s">
        <v>32</v>
      </c>
      <c r="AE33" s="49" t="s">
        <v>32</v>
      </c>
      <c r="AF33" s="95">
        <v>0.44</v>
      </c>
      <c r="AG33" s="96">
        <v>2.2999999999999998</v>
      </c>
      <c r="AH33" s="47" t="s">
        <v>32</v>
      </c>
      <c r="AI33" s="48" t="s">
        <v>32</v>
      </c>
      <c r="AJ33" s="47" t="s">
        <v>32</v>
      </c>
      <c r="AK33" s="49" t="s">
        <v>32</v>
      </c>
    </row>
    <row r="34" spans="2:37" ht="18" customHeight="1">
      <c r="B34" s="87">
        <v>10</v>
      </c>
      <c r="C34" s="82"/>
      <c r="D34" s="71">
        <f t="shared" si="2"/>
        <v>0.54541539124822802</v>
      </c>
      <c r="E34" s="83">
        <f t="shared" si="3"/>
        <v>2.1825000000000001</v>
      </c>
      <c r="F34" s="70">
        <v>0.53</v>
      </c>
      <c r="G34" s="83">
        <v>2.48</v>
      </c>
      <c r="H34" s="70">
        <v>0.53</v>
      </c>
      <c r="I34" s="83">
        <v>2.1</v>
      </c>
      <c r="J34" s="70">
        <v>0.53</v>
      </c>
      <c r="K34" s="72">
        <v>2.1</v>
      </c>
      <c r="L34" s="70">
        <v>0.55000000000000004</v>
      </c>
      <c r="M34" s="83">
        <v>2.27</v>
      </c>
      <c r="N34" s="70">
        <v>0.55000000000000004</v>
      </c>
      <c r="O34" s="83">
        <v>1.96</v>
      </c>
      <c r="P34" s="70">
        <v>0.52</v>
      </c>
      <c r="Q34" s="72">
        <v>1.63</v>
      </c>
      <c r="R34" s="70">
        <v>0.53</v>
      </c>
      <c r="S34" s="83">
        <v>2.41</v>
      </c>
      <c r="T34" s="70">
        <v>0.55000000000000004</v>
      </c>
      <c r="U34" s="83">
        <v>2.3199999999999998</v>
      </c>
      <c r="V34" s="70">
        <v>0.52</v>
      </c>
      <c r="W34" s="72">
        <v>1.52</v>
      </c>
      <c r="X34" s="70">
        <v>0.55000000000000004</v>
      </c>
      <c r="Y34" s="83">
        <v>2.42</v>
      </c>
      <c r="Z34" s="70">
        <v>0.55000000000000004</v>
      </c>
      <c r="AA34" s="83">
        <v>2.98</v>
      </c>
      <c r="AB34" s="70">
        <v>0.55000000000000004</v>
      </c>
      <c r="AC34" s="72">
        <v>1.68</v>
      </c>
      <c r="AD34" s="70">
        <v>0.55000000000000004</v>
      </c>
      <c r="AE34" s="83">
        <v>1.68</v>
      </c>
      <c r="AF34" s="70">
        <v>0.55000000000000004</v>
      </c>
      <c r="AG34" s="83">
        <v>2.31</v>
      </c>
      <c r="AH34" s="70">
        <v>0.55000000000000004</v>
      </c>
      <c r="AI34" s="72">
        <v>3</v>
      </c>
      <c r="AJ34" s="70">
        <v>0.55000000000000004</v>
      </c>
      <c r="AK34" s="83">
        <v>2.06</v>
      </c>
    </row>
    <row r="35" spans="2:37" ht="18" customHeight="1">
      <c r="B35" s="84">
        <v>12</v>
      </c>
      <c r="C35" s="85"/>
      <c r="D35" s="74">
        <f t="shared" si="2"/>
        <v>0.78539816339744828</v>
      </c>
      <c r="E35" s="86">
        <f t="shared" si="3"/>
        <v>2.36375</v>
      </c>
      <c r="F35" s="73">
        <v>0.77</v>
      </c>
      <c r="G35" s="86">
        <v>2.92</v>
      </c>
      <c r="H35" s="73">
        <v>0.77</v>
      </c>
      <c r="I35" s="86">
        <v>2</v>
      </c>
      <c r="J35" s="73">
        <v>0.77</v>
      </c>
      <c r="K35" s="75">
        <v>2</v>
      </c>
      <c r="L35" s="73">
        <v>0.79</v>
      </c>
      <c r="M35" s="86">
        <v>2.27</v>
      </c>
      <c r="N35" s="73">
        <v>0.79</v>
      </c>
      <c r="O35" s="86">
        <v>2.0299999999999998</v>
      </c>
      <c r="P35" s="73">
        <v>0.69</v>
      </c>
      <c r="Q35" s="75">
        <v>1.61</v>
      </c>
      <c r="R35" s="73">
        <v>0.76</v>
      </c>
      <c r="S35" s="86">
        <v>2.38</v>
      </c>
      <c r="T35" s="73">
        <v>0.79</v>
      </c>
      <c r="U35" s="86">
        <v>2.3199999999999998</v>
      </c>
      <c r="V35" s="73">
        <v>0.76</v>
      </c>
      <c r="W35" s="75">
        <v>1.48</v>
      </c>
      <c r="X35" s="73">
        <v>0.79</v>
      </c>
      <c r="Y35" s="86">
        <v>2.52</v>
      </c>
      <c r="Z35" s="73">
        <v>0.79</v>
      </c>
      <c r="AA35" s="86">
        <v>2.79</v>
      </c>
      <c r="AB35" s="73">
        <v>0.79</v>
      </c>
      <c r="AC35" s="75">
        <v>2.77</v>
      </c>
      <c r="AD35" s="73">
        <v>0.79</v>
      </c>
      <c r="AE35" s="86">
        <v>2.77</v>
      </c>
      <c r="AF35" s="73">
        <v>0.79</v>
      </c>
      <c r="AG35" s="86">
        <v>2.76</v>
      </c>
      <c r="AH35" s="73">
        <v>0.79</v>
      </c>
      <c r="AI35" s="75">
        <v>3</v>
      </c>
      <c r="AJ35" s="73">
        <v>0.79</v>
      </c>
      <c r="AK35" s="86">
        <v>2.2000000000000002</v>
      </c>
    </row>
    <row r="36" spans="2:37" ht="18" customHeight="1">
      <c r="B36" s="87">
        <v>14</v>
      </c>
      <c r="C36" s="82"/>
      <c r="D36" s="71">
        <f t="shared" si="2"/>
        <v>1.0690141668465267</v>
      </c>
      <c r="E36" s="83">
        <f t="shared" si="3"/>
        <v>2.2575000000000003</v>
      </c>
      <c r="F36" s="70">
        <v>1.05</v>
      </c>
      <c r="G36" s="83">
        <v>2.9</v>
      </c>
      <c r="H36" s="70">
        <v>1.05</v>
      </c>
      <c r="I36" s="83">
        <v>2</v>
      </c>
      <c r="J36" s="70">
        <v>1.05</v>
      </c>
      <c r="K36" s="72">
        <v>2</v>
      </c>
      <c r="L36" s="70">
        <v>1.07</v>
      </c>
      <c r="M36" s="83">
        <v>2.27</v>
      </c>
      <c r="N36" s="70">
        <v>1.07</v>
      </c>
      <c r="O36" s="83">
        <v>1.97</v>
      </c>
      <c r="P36" s="70">
        <v>0.86</v>
      </c>
      <c r="Q36" s="72">
        <v>1.59</v>
      </c>
      <c r="R36" s="70">
        <v>1.04</v>
      </c>
      <c r="S36" s="83">
        <v>2.29</v>
      </c>
      <c r="T36" s="70">
        <v>1.07</v>
      </c>
      <c r="U36" s="83">
        <v>2.33</v>
      </c>
      <c r="V36" s="70">
        <v>1.04</v>
      </c>
      <c r="W36" s="72">
        <v>1.69</v>
      </c>
      <c r="X36" s="70">
        <v>1.07</v>
      </c>
      <c r="Y36" s="83">
        <v>2.35</v>
      </c>
      <c r="Z36" s="70">
        <v>1.07</v>
      </c>
      <c r="AA36" s="83">
        <v>2.65</v>
      </c>
      <c r="AB36" s="70">
        <v>1.07</v>
      </c>
      <c r="AC36" s="72">
        <v>2.4300000000000002</v>
      </c>
      <c r="AD36" s="70">
        <v>1.07</v>
      </c>
      <c r="AE36" s="83">
        <v>2.4300000000000002</v>
      </c>
      <c r="AF36" s="70">
        <v>1.07</v>
      </c>
      <c r="AG36" s="83">
        <v>2.02</v>
      </c>
      <c r="AH36" s="70">
        <v>1.07</v>
      </c>
      <c r="AI36" s="72">
        <v>3</v>
      </c>
      <c r="AJ36" s="70">
        <v>1.07</v>
      </c>
      <c r="AK36" s="83">
        <v>2.2000000000000002</v>
      </c>
    </row>
    <row r="37" spans="2:37" ht="18" customHeight="1">
      <c r="B37" s="84">
        <v>16</v>
      </c>
      <c r="C37" s="85"/>
      <c r="D37" s="74">
        <f t="shared" si="2"/>
        <v>1.3962634015954636</v>
      </c>
      <c r="E37" s="86">
        <f t="shared" si="3"/>
        <v>2.1999999999999997</v>
      </c>
      <c r="F37" s="73">
        <v>1.38</v>
      </c>
      <c r="G37" s="86">
        <v>2.69</v>
      </c>
      <c r="H37" s="73">
        <v>1.37</v>
      </c>
      <c r="I37" s="86">
        <v>1.8</v>
      </c>
      <c r="J37" s="73">
        <v>1.37</v>
      </c>
      <c r="K37" s="75">
        <v>1.8</v>
      </c>
      <c r="L37" s="73">
        <v>1.4</v>
      </c>
      <c r="M37" s="86">
        <v>2.27</v>
      </c>
      <c r="N37" s="73">
        <v>1.4</v>
      </c>
      <c r="O37" s="86">
        <v>1.94</v>
      </c>
      <c r="P37" s="73">
        <v>1.04</v>
      </c>
      <c r="Q37" s="75">
        <v>1.61</v>
      </c>
      <c r="R37" s="73">
        <v>1.36</v>
      </c>
      <c r="S37" s="86">
        <v>2.29</v>
      </c>
      <c r="T37" s="73">
        <v>1.4</v>
      </c>
      <c r="U37" s="86">
        <v>2.33</v>
      </c>
      <c r="V37" s="73">
        <v>1.36</v>
      </c>
      <c r="W37" s="75">
        <v>1.54</v>
      </c>
      <c r="X37" s="73">
        <v>1.4</v>
      </c>
      <c r="Y37" s="86">
        <v>2.34</v>
      </c>
      <c r="Z37" s="73">
        <v>1.4</v>
      </c>
      <c r="AA37" s="86">
        <v>2.5099999999999998</v>
      </c>
      <c r="AB37" s="73">
        <v>1.4</v>
      </c>
      <c r="AC37" s="75">
        <v>2.89</v>
      </c>
      <c r="AD37" s="73">
        <v>1.4</v>
      </c>
      <c r="AE37" s="86">
        <v>2.89</v>
      </c>
      <c r="AF37" s="73">
        <v>1.4</v>
      </c>
      <c r="AG37" s="86">
        <v>1.1200000000000001</v>
      </c>
      <c r="AH37" s="73">
        <v>1.4</v>
      </c>
      <c r="AI37" s="75">
        <v>3</v>
      </c>
      <c r="AJ37" s="73">
        <v>1.4</v>
      </c>
      <c r="AK37" s="86">
        <v>2.1800000000000002</v>
      </c>
    </row>
    <row r="38" spans="2:37" ht="18" customHeight="1">
      <c r="B38" s="87">
        <v>18</v>
      </c>
      <c r="C38" s="82"/>
      <c r="D38" s="71">
        <f t="shared" si="2"/>
        <v>1.7671458676442586</v>
      </c>
      <c r="E38" s="83">
        <f t="shared" si="3"/>
        <v>2.0680000000000001</v>
      </c>
      <c r="F38" s="44" t="s">
        <v>32</v>
      </c>
      <c r="G38" s="45" t="s">
        <v>32</v>
      </c>
      <c r="H38" s="44" t="s">
        <v>32</v>
      </c>
      <c r="I38" s="45" t="s">
        <v>32</v>
      </c>
      <c r="J38" s="44" t="s">
        <v>32</v>
      </c>
      <c r="K38" s="46" t="s">
        <v>32</v>
      </c>
      <c r="L38" s="44" t="s">
        <v>32</v>
      </c>
      <c r="M38" s="45" t="s">
        <v>32</v>
      </c>
      <c r="N38" s="44" t="s">
        <v>32</v>
      </c>
      <c r="O38" s="45" t="s">
        <v>32</v>
      </c>
      <c r="P38" s="70">
        <v>1.21</v>
      </c>
      <c r="Q38" s="72">
        <v>1.59</v>
      </c>
      <c r="R38" s="93">
        <v>1.74</v>
      </c>
      <c r="S38" s="94">
        <v>2.4300000000000002</v>
      </c>
      <c r="T38" s="44" t="s">
        <v>32</v>
      </c>
      <c r="U38" s="45" t="s">
        <v>32</v>
      </c>
      <c r="V38" s="44" t="s">
        <v>32</v>
      </c>
      <c r="W38" s="46" t="s">
        <v>32</v>
      </c>
      <c r="X38" s="44" t="s">
        <v>32</v>
      </c>
      <c r="Y38" s="45" t="s">
        <v>32</v>
      </c>
      <c r="Z38" s="44" t="s">
        <v>32</v>
      </c>
      <c r="AA38" s="45" t="s">
        <v>32</v>
      </c>
      <c r="AB38" s="70">
        <v>1.77</v>
      </c>
      <c r="AC38" s="72">
        <v>1.66</v>
      </c>
      <c r="AD38" s="93">
        <v>1.77</v>
      </c>
      <c r="AE38" s="94">
        <v>1.66</v>
      </c>
      <c r="AF38" s="44" t="s">
        <v>32</v>
      </c>
      <c r="AG38" s="45" t="s">
        <v>32</v>
      </c>
      <c r="AH38" s="93">
        <v>2</v>
      </c>
      <c r="AI38" s="97">
        <v>3</v>
      </c>
      <c r="AJ38" s="44" t="s">
        <v>32</v>
      </c>
      <c r="AK38" s="45" t="s">
        <v>32</v>
      </c>
    </row>
    <row r="39" spans="2:37" ht="18" customHeight="1">
      <c r="B39" s="84">
        <v>19</v>
      </c>
      <c r="C39" s="85"/>
      <c r="D39" s="74">
        <f t="shared" si="2"/>
        <v>1.9689495624061029</v>
      </c>
      <c r="E39" s="86">
        <f t="shared" si="3"/>
        <v>2.92</v>
      </c>
      <c r="F39" s="47" t="s">
        <v>32</v>
      </c>
      <c r="G39" s="49" t="s">
        <v>32</v>
      </c>
      <c r="H39" s="47" t="s">
        <v>32</v>
      </c>
      <c r="I39" s="49" t="s">
        <v>32</v>
      </c>
      <c r="J39" s="47" t="s">
        <v>32</v>
      </c>
      <c r="K39" s="48" t="s">
        <v>32</v>
      </c>
      <c r="L39" s="47" t="s">
        <v>32</v>
      </c>
      <c r="M39" s="49" t="s">
        <v>32</v>
      </c>
      <c r="N39" s="47" t="s">
        <v>32</v>
      </c>
      <c r="O39" s="49" t="s">
        <v>32</v>
      </c>
      <c r="P39" s="47" t="s">
        <v>32</v>
      </c>
      <c r="Q39" s="48" t="s">
        <v>32</v>
      </c>
      <c r="R39" s="95">
        <v>2.72</v>
      </c>
      <c r="S39" s="96">
        <v>2.92</v>
      </c>
      <c r="T39" s="47" t="s">
        <v>32</v>
      </c>
      <c r="U39" s="49" t="s">
        <v>32</v>
      </c>
      <c r="V39" s="47" t="s">
        <v>32</v>
      </c>
      <c r="W39" s="48" t="s">
        <v>32</v>
      </c>
      <c r="X39" s="47" t="s">
        <v>32</v>
      </c>
      <c r="Y39" s="49" t="s">
        <v>32</v>
      </c>
      <c r="Z39" s="47" t="s">
        <v>32</v>
      </c>
      <c r="AA39" s="49" t="s">
        <v>32</v>
      </c>
      <c r="AB39" s="47" t="s">
        <v>32</v>
      </c>
      <c r="AC39" s="48" t="s">
        <v>32</v>
      </c>
      <c r="AD39" s="47" t="s">
        <v>32</v>
      </c>
      <c r="AE39" s="49" t="s">
        <v>32</v>
      </c>
      <c r="AF39" s="47" t="s">
        <v>32</v>
      </c>
      <c r="AG39" s="49" t="s">
        <v>32</v>
      </c>
      <c r="AH39" s="47" t="s">
        <v>32</v>
      </c>
      <c r="AI39" s="48" t="s">
        <v>32</v>
      </c>
      <c r="AJ39" s="47" t="s">
        <v>32</v>
      </c>
      <c r="AK39" s="49" t="s">
        <v>32</v>
      </c>
    </row>
    <row r="40" spans="2:37" ht="18" customHeight="1">
      <c r="B40" s="87">
        <v>20</v>
      </c>
      <c r="C40" s="82"/>
      <c r="D40" s="71">
        <f t="shared" si="2"/>
        <v>2.1816615649929121</v>
      </c>
      <c r="E40" s="83">
        <f t="shared" si="3"/>
        <v>1.8250000000000002</v>
      </c>
      <c r="F40" s="44" t="s">
        <v>32</v>
      </c>
      <c r="G40" s="45" t="s">
        <v>32</v>
      </c>
      <c r="H40" s="44" t="s">
        <v>32</v>
      </c>
      <c r="I40" s="45" t="s">
        <v>32</v>
      </c>
      <c r="J40" s="44" t="s">
        <v>32</v>
      </c>
      <c r="K40" s="46" t="s">
        <v>32</v>
      </c>
      <c r="L40" s="44" t="s">
        <v>32</v>
      </c>
      <c r="M40" s="45" t="s">
        <v>32</v>
      </c>
      <c r="N40" s="44" t="s">
        <v>32</v>
      </c>
      <c r="O40" s="45" t="s">
        <v>32</v>
      </c>
      <c r="P40" s="70">
        <v>1.47</v>
      </c>
      <c r="Q40" s="72">
        <v>1.61</v>
      </c>
      <c r="R40" s="44" t="s">
        <v>32</v>
      </c>
      <c r="S40" s="45" t="s">
        <v>32</v>
      </c>
      <c r="T40" s="44" t="s">
        <v>32</v>
      </c>
      <c r="U40" s="45" t="s">
        <v>32</v>
      </c>
      <c r="V40" s="44" t="s">
        <v>32</v>
      </c>
      <c r="W40" s="46" t="s">
        <v>32</v>
      </c>
      <c r="X40" s="44" t="s">
        <v>32</v>
      </c>
      <c r="Y40" s="45" t="s">
        <v>32</v>
      </c>
      <c r="Z40" s="44" t="s">
        <v>32</v>
      </c>
      <c r="AA40" s="45" t="s">
        <v>32</v>
      </c>
      <c r="AB40" s="70">
        <v>2.1800000000000002</v>
      </c>
      <c r="AC40" s="72">
        <v>1.75</v>
      </c>
      <c r="AD40" s="93">
        <v>2.1800000000000002</v>
      </c>
      <c r="AE40" s="94">
        <v>1.75</v>
      </c>
      <c r="AF40" s="93">
        <v>0.78</v>
      </c>
      <c r="AG40" s="94">
        <v>2.19</v>
      </c>
      <c r="AH40" s="44" t="s">
        <v>32</v>
      </c>
      <c r="AI40" s="46" t="s">
        <v>32</v>
      </c>
      <c r="AJ40" s="44" t="s">
        <v>32</v>
      </c>
      <c r="AK40" s="45" t="s">
        <v>32</v>
      </c>
    </row>
    <row r="41" spans="2:37" ht="18" customHeight="1">
      <c r="B41" s="84">
        <v>22</v>
      </c>
      <c r="C41" s="85"/>
      <c r="D41" s="74">
        <f t="shared" si="2"/>
        <v>2.6398104936414235</v>
      </c>
      <c r="E41" s="86">
        <f t="shared" si="3"/>
        <v>2.3166666666666669</v>
      </c>
      <c r="F41" s="47" t="s">
        <v>32</v>
      </c>
      <c r="G41" s="49" t="s">
        <v>32</v>
      </c>
      <c r="H41" s="47" t="s">
        <v>32</v>
      </c>
      <c r="I41" s="49" t="s">
        <v>32</v>
      </c>
      <c r="J41" s="47" t="s">
        <v>32</v>
      </c>
      <c r="K41" s="48" t="s">
        <v>32</v>
      </c>
      <c r="L41" s="73">
        <v>2.64</v>
      </c>
      <c r="M41" s="86">
        <v>2.13</v>
      </c>
      <c r="N41" s="47" t="s">
        <v>32</v>
      </c>
      <c r="O41" s="49" t="s">
        <v>32</v>
      </c>
      <c r="P41" s="73">
        <v>1.83</v>
      </c>
      <c r="Q41" s="75">
        <v>1.6</v>
      </c>
      <c r="R41" s="95">
        <v>3.55</v>
      </c>
      <c r="S41" s="96">
        <v>2.65</v>
      </c>
      <c r="T41" s="95">
        <v>2.67</v>
      </c>
      <c r="U41" s="96">
        <v>2.33</v>
      </c>
      <c r="V41" s="47" t="s">
        <v>32</v>
      </c>
      <c r="W41" s="48" t="s">
        <v>32</v>
      </c>
      <c r="X41" s="47" t="s">
        <v>32</v>
      </c>
      <c r="Y41" s="49" t="s">
        <v>32</v>
      </c>
      <c r="Z41" s="47" t="s">
        <v>32</v>
      </c>
      <c r="AA41" s="49" t="s">
        <v>32</v>
      </c>
      <c r="AB41" s="47" t="s">
        <v>32</v>
      </c>
      <c r="AC41" s="48" t="s">
        <v>32</v>
      </c>
      <c r="AD41" s="47" t="s">
        <v>32</v>
      </c>
      <c r="AE41" s="49" t="s">
        <v>32</v>
      </c>
      <c r="AF41" s="95">
        <v>0.78</v>
      </c>
      <c r="AG41" s="96">
        <v>2.19</v>
      </c>
      <c r="AH41" s="95">
        <v>2.44</v>
      </c>
      <c r="AI41" s="98">
        <v>3</v>
      </c>
      <c r="AJ41" s="47" t="s">
        <v>32</v>
      </c>
      <c r="AK41" s="49" t="s">
        <v>32</v>
      </c>
    </row>
    <row r="42" spans="2:37" ht="18" customHeight="1">
      <c r="B42" s="87">
        <v>24</v>
      </c>
      <c r="C42" s="82"/>
      <c r="D42" s="71">
        <f t="shared" si="2"/>
        <v>3.1415926535897931</v>
      </c>
      <c r="E42" s="83">
        <f t="shared" si="3"/>
        <v>1.75</v>
      </c>
      <c r="F42" s="44" t="s">
        <v>32</v>
      </c>
      <c r="G42" s="45" t="s">
        <v>32</v>
      </c>
      <c r="H42" s="44" t="s">
        <v>32</v>
      </c>
      <c r="I42" s="45" t="s">
        <v>32</v>
      </c>
      <c r="J42" s="44" t="s">
        <v>32</v>
      </c>
      <c r="K42" s="46" t="s">
        <v>32</v>
      </c>
      <c r="L42" s="44" t="s">
        <v>32</v>
      </c>
      <c r="M42" s="45" t="s">
        <v>32</v>
      </c>
      <c r="N42" s="44" t="s">
        <v>32</v>
      </c>
      <c r="O42" s="45" t="s">
        <v>32</v>
      </c>
      <c r="P42" s="44" t="s">
        <v>32</v>
      </c>
      <c r="Q42" s="46" t="s">
        <v>32</v>
      </c>
      <c r="R42" s="44" t="s">
        <v>32</v>
      </c>
      <c r="S42" s="45" t="s">
        <v>32</v>
      </c>
      <c r="T42" s="44" t="s">
        <v>32</v>
      </c>
      <c r="U42" s="45" t="s">
        <v>32</v>
      </c>
      <c r="V42" s="44" t="s">
        <v>32</v>
      </c>
      <c r="W42" s="46" t="s">
        <v>32</v>
      </c>
      <c r="X42" s="44" t="s">
        <v>32</v>
      </c>
      <c r="Y42" s="45" t="s">
        <v>32</v>
      </c>
      <c r="Z42" s="44" t="s">
        <v>32</v>
      </c>
      <c r="AA42" s="45" t="s">
        <v>32</v>
      </c>
      <c r="AB42" s="93">
        <v>3.14</v>
      </c>
      <c r="AC42" s="97">
        <v>1.75</v>
      </c>
      <c r="AD42" s="93">
        <v>3.14</v>
      </c>
      <c r="AE42" s="94">
        <v>1.75</v>
      </c>
      <c r="AF42" s="44" t="s">
        <v>32</v>
      </c>
      <c r="AG42" s="45" t="s">
        <v>32</v>
      </c>
      <c r="AH42" s="44" t="s">
        <v>32</v>
      </c>
      <c r="AI42" s="46" t="s">
        <v>32</v>
      </c>
      <c r="AJ42" s="44" t="s">
        <v>32</v>
      </c>
      <c r="AK42" s="45" t="s">
        <v>32</v>
      </c>
    </row>
    <row r="43" spans="2:37" ht="18" customHeight="1">
      <c r="B43" s="84">
        <v>26</v>
      </c>
      <c r="C43" s="85"/>
      <c r="D43" s="74">
        <f t="shared" si="2"/>
        <v>3.6870080448380214</v>
      </c>
      <c r="E43" s="86">
        <f t="shared" si="3"/>
        <v>2.57</v>
      </c>
      <c r="F43" s="47" t="s">
        <v>32</v>
      </c>
      <c r="G43" s="49" t="s">
        <v>32</v>
      </c>
      <c r="H43" s="47" t="s">
        <v>32</v>
      </c>
      <c r="I43" s="49" t="s">
        <v>32</v>
      </c>
      <c r="J43" s="47" t="s">
        <v>32</v>
      </c>
      <c r="K43" s="48" t="s">
        <v>32</v>
      </c>
      <c r="L43" s="47" t="s">
        <v>32</v>
      </c>
      <c r="M43" s="49" t="s">
        <v>32</v>
      </c>
      <c r="N43" s="47" t="s">
        <v>32</v>
      </c>
      <c r="O43" s="49" t="s">
        <v>32</v>
      </c>
      <c r="P43" s="47" t="s">
        <v>32</v>
      </c>
      <c r="Q43" s="48" t="s">
        <v>32</v>
      </c>
      <c r="R43" s="47" t="s">
        <v>32</v>
      </c>
      <c r="S43" s="49" t="s">
        <v>32</v>
      </c>
      <c r="T43" s="47" t="s">
        <v>32</v>
      </c>
      <c r="U43" s="49" t="s">
        <v>32</v>
      </c>
      <c r="V43" s="47" t="s">
        <v>32</v>
      </c>
      <c r="W43" s="48" t="s">
        <v>32</v>
      </c>
      <c r="X43" s="47" t="s">
        <v>32</v>
      </c>
      <c r="Y43" s="49" t="s">
        <v>32</v>
      </c>
      <c r="Z43" s="47" t="s">
        <v>32</v>
      </c>
      <c r="AA43" s="49" t="s">
        <v>32</v>
      </c>
      <c r="AB43" s="47" t="s">
        <v>32</v>
      </c>
      <c r="AC43" s="48" t="s">
        <v>32</v>
      </c>
      <c r="AD43" s="47" t="s">
        <v>32</v>
      </c>
      <c r="AE43" s="49" t="s">
        <v>32</v>
      </c>
      <c r="AF43" s="95">
        <v>1</v>
      </c>
      <c r="AG43" s="96">
        <v>2.57</v>
      </c>
      <c r="AH43" s="47" t="s">
        <v>32</v>
      </c>
      <c r="AI43" s="48" t="s">
        <v>32</v>
      </c>
      <c r="AJ43" s="47" t="s">
        <v>32</v>
      </c>
      <c r="AK43" s="49" t="s">
        <v>32</v>
      </c>
    </row>
    <row r="44" spans="2:37" ht="18" customHeight="1">
      <c r="B44" s="87">
        <v>30</v>
      </c>
      <c r="C44" s="82"/>
      <c r="D44" s="71">
        <f t="shared" si="2"/>
        <v>4.908738521234052</v>
      </c>
      <c r="E44" s="83">
        <f t="shared" si="3"/>
        <v>3</v>
      </c>
      <c r="F44" s="44" t="s">
        <v>32</v>
      </c>
      <c r="G44" s="45" t="s">
        <v>32</v>
      </c>
      <c r="H44" s="44" t="s">
        <v>32</v>
      </c>
      <c r="I44" s="45" t="s">
        <v>32</v>
      </c>
      <c r="J44" s="44" t="s">
        <v>32</v>
      </c>
      <c r="K44" s="46" t="s">
        <v>32</v>
      </c>
      <c r="L44" s="44" t="s">
        <v>32</v>
      </c>
      <c r="M44" s="45" t="s">
        <v>32</v>
      </c>
      <c r="N44" s="44" t="s">
        <v>32</v>
      </c>
      <c r="O44" s="45" t="s">
        <v>32</v>
      </c>
      <c r="P44" s="44" t="s">
        <v>32</v>
      </c>
      <c r="Q44" s="46" t="s">
        <v>32</v>
      </c>
      <c r="R44" s="44" t="s">
        <v>32</v>
      </c>
      <c r="S44" s="45" t="s">
        <v>32</v>
      </c>
      <c r="T44" s="44" t="s">
        <v>32</v>
      </c>
      <c r="U44" s="45" t="s">
        <v>32</v>
      </c>
      <c r="V44" s="44" t="s">
        <v>32</v>
      </c>
      <c r="W44" s="46" t="s">
        <v>32</v>
      </c>
      <c r="X44" s="44" t="s">
        <v>32</v>
      </c>
      <c r="Y44" s="45" t="s">
        <v>32</v>
      </c>
      <c r="Z44" s="44" t="s">
        <v>32</v>
      </c>
      <c r="AA44" s="45" t="s">
        <v>32</v>
      </c>
      <c r="AB44" s="44" t="s">
        <v>32</v>
      </c>
      <c r="AC44" s="46" t="s">
        <v>32</v>
      </c>
      <c r="AD44" s="44" t="s">
        <v>32</v>
      </c>
      <c r="AE44" s="45" t="s">
        <v>32</v>
      </c>
      <c r="AF44" s="44" t="s">
        <v>32</v>
      </c>
      <c r="AG44" s="45" t="s">
        <v>32</v>
      </c>
      <c r="AH44" s="93">
        <v>3.33</v>
      </c>
      <c r="AI44" s="97">
        <v>3</v>
      </c>
      <c r="AJ44" s="44" t="s">
        <v>32</v>
      </c>
      <c r="AK44" s="45" t="s">
        <v>32</v>
      </c>
    </row>
    <row r="45" spans="2:37" ht="18" customHeight="1">
      <c r="B45" s="88">
        <v>40</v>
      </c>
      <c r="C45" s="89"/>
      <c r="D45" s="77">
        <f t="shared" si="2"/>
        <v>8.7266462599716483</v>
      </c>
      <c r="E45" s="86">
        <f t="shared" si="3"/>
        <v>2.2200000000000002</v>
      </c>
      <c r="F45" s="50" t="s">
        <v>32</v>
      </c>
      <c r="G45" s="51" t="s">
        <v>32</v>
      </c>
      <c r="H45" s="50" t="s">
        <v>32</v>
      </c>
      <c r="I45" s="51" t="s">
        <v>32</v>
      </c>
      <c r="J45" s="50" t="s">
        <v>32</v>
      </c>
      <c r="K45" s="52" t="s">
        <v>32</v>
      </c>
      <c r="L45" s="50" t="s">
        <v>32</v>
      </c>
      <c r="M45" s="51" t="s">
        <v>32</v>
      </c>
      <c r="N45" s="50" t="s">
        <v>32</v>
      </c>
      <c r="O45" s="51" t="s">
        <v>32</v>
      </c>
      <c r="P45" s="50" t="s">
        <v>32</v>
      </c>
      <c r="Q45" s="52" t="s">
        <v>32</v>
      </c>
      <c r="R45" s="50" t="s">
        <v>32</v>
      </c>
      <c r="S45" s="51" t="s">
        <v>32</v>
      </c>
      <c r="T45" s="50" t="s">
        <v>32</v>
      </c>
      <c r="U45" s="51" t="s">
        <v>32</v>
      </c>
      <c r="V45" s="50" t="s">
        <v>32</v>
      </c>
      <c r="W45" s="52" t="s">
        <v>32</v>
      </c>
      <c r="X45" s="50" t="s">
        <v>32</v>
      </c>
      <c r="Y45" s="51" t="s">
        <v>32</v>
      </c>
      <c r="Z45" s="50" t="s">
        <v>32</v>
      </c>
      <c r="AA45" s="51" t="s">
        <v>32</v>
      </c>
      <c r="AB45" s="50" t="s">
        <v>32</v>
      </c>
      <c r="AC45" s="52" t="s">
        <v>32</v>
      </c>
      <c r="AD45" s="50" t="s">
        <v>32</v>
      </c>
      <c r="AE45" s="51" t="s">
        <v>32</v>
      </c>
      <c r="AF45" s="99">
        <v>2.67</v>
      </c>
      <c r="AG45" s="100">
        <v>2.2200000000000002</v>
      </c>
      <c r="AH45" s="50" t="s">
        <v>32</v>
      </c>
      <c r="AI45" s="52" t="s">
        <v>32</v>
      </c>
      <c r="AJ45" s="50" t="s">
        <v>32</v>
      </c>
      <c r="AK45" s="51" t="s">
        <v>32</v>
      </c>
    </row>
    <row r="46" spans="2:37" ht="18" customHeight="1">
      <c r="B46" s="20"/>
      <c r="C46" s="20"/>
      <c r="D46" s="142"/>
      <c r="E46" s="143"/>
      <c r="F46" s="142"/>
      <c r="G46" s="143"/>
      <c r="H46" s="142"/>
      <c r="I46" s="143"/>
      <c r="J46" s="142"/>
      <c r="K46" s="143"/>
      <c r="L46" s="142"/>
      <c r="M46" s="143"/>
      <c r="N46" s="142"/>
      <c r="O46" s="143"/>
      <c r="P46" s="142"/>
      <c r="Q46" s="143"/>
      <c r="R46" s="142"/>
      <c r="S46" s="143"/>
      <c r="T46" s="142"/>
      <c r="U46" s="143"/>
      <c r="V46" s="142"/>
      <c r="W46" s="143"/>
      <c r="X46" s="142"/>
      <c r="Y46" s="143"/>
      <c r="Z46" s="142"/>
      <c r="AA46" s="143"/>
      <c r="AB46" s="142"/>
      <c r="AC46" s="143"/>
      <c r="AD46" s="142"/>
      <c r="AE46" s="143"/>
      <c r="AF46" s="142"/>
      <c r="AG46" s="143"/>
      <c r="AH46" s="142"/>
      <c r="AI46" s="143"/>
      <c r="AJ46" s="142"/>
      <c r="AK46" s="143"/>
    </row>
  </sheetData>
  <sheetProtection password="9ED9" sheet="1" objects="1" scenarios="1"/>
  <mergeCells count="21">
    <mergeCell ref="AJ25:AK26"/>
    <mergeCell ref="R25:S26"/>
    <mergeCell ref="T25:U26"/>
    <mergeCell ref="V25:W26"/>
    <mergeCell ref="X25:Y26"/>
    <mergeCell ref="P25:Q26"/>
    <mergeCell ref="AH25:AI26"/>
    <mergeCell ref="B4:C4"/>
    <mergeCell ref="F25:G26"/>
    <mergeCell ref="H25:I26"/>
    <mergeCell ref="Z25:AA26"/>
    <mergeCell ref="D25:E26"/>
    <mergeCell ref="AD25:AE26"/>
    <mergeCell ref="B26:C27"/>
    <mergeCell ref="N25:O26"/>
    <mergeCell ref="L25:M26"/>
    <mergeCell ref="AB25:AC26"/>
    <mergeCell ref="J25:K26"/>
    <mergeCell ref="AF25:AG26"/>
    <mergeCell ref="D2:E2"/>
    <mergeCell ref="D3:E3"/>
  </mergeCells>
  <dataValidations count="1">
    <dataValidation type="list" allowBlank="1" showInputMessage="1" showErrorMessage="1" sqref="D2:E2" xr:uid="{6F635B3C-5416-0445-BF04-43B8157E600D}">
      <formula1>$V$1:$V$17</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23536-F8B4-8941-8FE0-9E998AC1DC71}">
  <dimension ref="A1:AK481"/>
  <sheetViews>
    <sheetView tabSelected="1" zoomScale="69" zoomScaleNormal="130" zoomScaleSheetLayoutView="70" workbookViewId="0">
      <pane ySplit="6" topLeftCell="A7" activePane="bottomLeft" state="frozen"/>
      <selection pane="bottomLeft" activeCell="E14" sqref="E14"/>
    </sheetView>
  </sheetViews>
  <sheetFormatPr baseColWidth="10" defaultRowHeight="15"/>
  <cols>
    <col min="1" max="1" width="27.1640625" bestFit="1" customWidth="1"/>
    <col min="2" max="2" width="16.5" bestFit="1" customWidth="1"/>
    <col min="3" max="3" width="41.1640625" bestFit="1" customWidth="1"/>
    <col min="4" max="4" width="20.6640625" customWidth="1"/>
    <col min="5" max="5" width="21.5" customWidth="1"/>
    <col min="6" max="6" width="58.5" bestFit="1" customWidth="1"/>
    <col min="7" max="7" width="17.83203125" customWidth="1"/>
    <col min="8" max="8" width="13.1640625" customWidth="1"/>
    <col min="9" max="9" width="21.6640625" customWidth="1"/>
    <col min="10" max="10" width="10.6640625" customWidth="1"/>
    <col min="11" max="11" width="18" bestFit="1" customWidth="1"/>
    <col min="12" max="12" width="14.5" style="109" bestFit="1" customWidth="1"/>
    <col min="13" max="14" width="16.5" customWidth="1"/>
    <col min="15" max="15" width="11.5" customWidth="1"/>
    <col min="16" max="16" width="12.83203125" customWidth="1"/>
    <col min="17" max="17" width="14.33203125" hidden="1" customWidth="1"/>
    <col min="18" max="18" width="13.5" customWidth="1"/>
    <col min="19" max="19" width="14" hidden="1" customWidth="1"/>
    <col min="20" max="20" width="11.5" hidden="1" customWidth="1"/>
    <col min="21" max="21" width="13.83203125" hidden="1" customWidth="1"/>
    <col min="22" max="22" width="11.5" hidden="1" customWidth="1"/>
    <col min="23" max="23" width="12.1640625" hidden="1" customWidth="1"/>
    <col min="24" max="25" width="13" hidden="1" customWidth="1"/>
    <col min="26" max="26" width="23.5" customWidth="1"/>
    <col min="27" max="27" width="29.5" customWidth="1"/>
    <col min="28" max="28" width="14.1640625" bestFit="1" customWidth="1"/>
    <col min="29" max="29" width="11.33203125" customWidth="1"/>
    <col min="30" max="30" width="13.83203125" bestFit="1" customWidth="1"/>
    <col min="31" max="31" width="9.5" bestFit="1" customWidth="1"/>
    <col min="32" max="32" width="10.1640625" customWidth="1"/>
    <col min="33" max="33" width="15" customWidth="1"/>
    <col min="34" max="36" width="17" customWidth="1"/>
    <col min="37" max="37" width="37.5" customWidth="1"/>
    <col min="38" max="256" width="8.83203125" customWidth="1"/>
  </cols>
  <sheetData>
    <row r="1" spans="1:37" s="102" customFormat="1" ht="14">
      <c r="A1" s="102" t="s">
        <v>251</v>
      </c>
      <c r="B1" s="102" t="s">
        <v>253</v>
      </c>
      <c r="C1" s="102" t="s">
        <v>254</v>
      </c>
      <c r="D1" s="102" t="s">
        <v>252</v>
      </c>
      <c r="E1" s="102" t="s">
        <v>259</v>
      </c>
      <c r="F1" s="102" t="s">
        <v>277</v>
      </c>
      <c r="G1" s="102" t="s">
        <v>278</v>
      </c>
      <c r="I1" s="102" t="s">
        <v>260</v>
      </c>
      <c r="K1" s="102" t="s">
        <v>261</v>
      </c>
      <c r="L1" s="106" t="s">
        <v>262</v>
      </c>
      <c r="M1" s="102" t="s">
        <v>263</v>
      </c>
      <c r="N1" s="102" t="s">
        <v>264</v>
      </c>
      <c r="O1" s="102" t="s">
        <v>265</v>
      </c>
      <c r="P1" s="102" t="s">
        <v>266</v>
      </c>
      <c r="Q1" s="102" t="s">
        <v>267</v>
      </c>
      <c r="R1" s="102" t="s">
        <v>268</v>
      </c>
      <c r="S1" s="102" t="s">
        <v>281</v>
      </c>
      <c r="T1" s="102" t="s">
        <v>269</v>
      </c>
      <c r="U1" s="102" t="s">
        <v>270</v>
      </c>
      <c r="V1" s="102" t="s">
        <v>271</v>
      </c>
      <c r="W1" s="102" t="s">
        <v>272</v>
      </c>
      <c r="X1" s="102" t="s">
        <v>273</v>
      </c>
      <c r="Y1" s="102" t="s">
        <v>255</v>
      </c>
      <c r="Z1" s="102" t="s">
        <v>256</v>
      </c>
      <c r="AA1" s="102" t="s">
        <v>257</v>
      </c>
      <c r="AC1" s="102" t="s">
        <v>258</v>
      </c>
    </row>
    <row r="2" spans="1:37" s="102" customFormat="1" ht="14">
      <c r="A2" s="102" t="s">
        <v>413</v>
      </c>
      <c r="L2" s="106"/>
      <c r="AB2" s="103"/>
      <c r="AC2" s="103"/>
      <c r="AD2" s="104"/>
      <c r="AE2" s="104"/>
      <c r="AF2" s="104"/>
      <c r="AG2" s="104"/>
      <c r="AH2" s="104"/>
      <c r="AI2" s="104"/>
      <c r="AJ2" s="102" t="s">
        <v>454</v>
      </c>
    </row>
    <row r="3" spans="1:37" s="55" customFormat="1" ht="16">
      <c r="A3" s="168" t="s">
        <v>1</v>
      </c>
      <c r="B3" s="168"/>
      <c r="C3" s="168"/>
      <c r="D3" s="171" t="s">
        <v>290</v>
      </c>
      <c r="E3" s="171"/>
      <c r="F3" s="171"/>
      <c r="G3" s="171"/>
      <c r="H3" s="171"/>
      <c r="I3" s="171"/>
      <c r="J3" s="171"/>
      <c r="K3" s="171"/>
      <c r="L3" s="170" t="s">
        <v>143</v>
      </c>
      <c r="M3" s="170"/>
      <c r="N3" s="170"/>
      <c r="O3" s="170"/>
      <c r="P3" s="170"/>
      <c r="Q3" s="170"/>
      <c r="R3" s="170"/>
      <c r="S3" s="170"/>
      <c r="T3" s="170"/>
      <c r="U3" s="170"/>
      <c r="V3" s="170"/>
      <c r="W3" s="170"/>
      <c r="X3" s="170"/>
      <c r="Y3" s="170"/>
      <c r="Z3" s="169" t="s">
        <v>26</v>
      </c>
      <c r="AA3" s="169"/>
      <c r="AB3" s="128" t="s">
        <v>420</v>
      </c>
      <c r="AC3" s="164" t="s">
        <v>34</v>
      </c>
      <c r="AD3" s="165"/>
      <c r="AE3" s="165"/>
      <c r="AF3" s="165"/>
      <c r="AG3" s="165"/>
      <c r="AH3" s="165"/>
      <c r="AI3" s="165"/>
      <c r="AJ3" s="165"/>
      <c r="AK3" s="166"/>
    </row>
    <row r="4" spans="1:37" s="56" customFormat="1" ht="45">
      <c r="A4" s="59" t="s">
        <v>204</v>
      </c>
      <c r="B4" s="59" t="s">
        <v>136</v>
      </c>
      <c r="C4" s="59" t="s">
        <v>203</v>
      </c>
      <c r="D4" s="60" t="s">
        <v>276</v>
      </c>
      <c r="E4" s="61" t="s">
        <v>275</v>
      </c>
      <c r="F4" s="61" t="s">
        <v>282</v>
      </c>
      <c r="G4" s="61" t="s">
        <v>336</v>
      </c>
      <c r="H4" s="61" t="s">
        <v>414</v>
      </c>
      <c r="I4" s="60" t="s">
        <v>284</v>
      </c>
      <c r="J4" s="60" t="s">
        <v>415</v>
      </c>
      <c r="K4" s="60" t="s">
        <v>285</v>
      </c>
      <c r="L4" s="107" t="s">
        <v>137</v>
      </c>
      <c r="M4" s="62" t="s">
        <v>138</v>
      </c>
      <c r="N4" s="62" t="s">
        <v>139</v>
      </c>
      <c r="O4" s="62" t="s">
        <v>219</v>
      </c>
      <c r="P4" s="62" t="s">
        <v>20</v>
      </c>
      <c r="Q4" s="62" t="s">
        <v>21</v>
      </c>
      <c r="R4" s="62" t="s">
        <v>30</v>
      </c>
      <c r="S4" s="62" t="s">
        <v>280</v>
      </c>
      <c r="T4" s="62" t="s">
        <v>28</v>
      </c>
      <c r="U4" s="62" t="s">
        <v>29</v>
      </c>
      <c r="V4" s="62" t="s">
        <v>33</v>
      </c>
      <c r="W4" s="62" t="s">
        <v>134</v>
      </c>
      <c r="X4" s="62" t="s">
        <v>140</v>
      </c>
      <c r="Y4" s="62" t="s">
        <v>286</v>
      </c>
      <c r="Z4" s="63" t="s">
        <v>412</v>
      </c>
      <c r="AA4" s="63" t="s">
        <v>411</v>
      </c>
      <c r="AB4" s="129" t="s">
        <v>421</v>
      </c>
      <c r="AC4" s="26" t="s">
        <v>417</v>
      </c>
      <c r="AD4" s="26" t="s">
        <v>418</v>
      </c>
      <c r="AE4" s="26" t="s">
        <v>419</v>
      </c>
      <c r="AF4" s="26" t="s">
        <v>17</v>
      </c>
      <c r="AG4" s="26" t="s">
        <v>18</v>
      </c>
      <c r="AH4" s="26" t="s">
        <v>15</v>
      </c>
      <c r="AI4" s="26" t="s">
        <v>16</v>
      </c>
      <c r="AJ4" s="26" t="s">
        <v>19</v>
      </c>
      <c r="AK4" s="56" t="s">
        <v>422</v>
      </c>
    </row>
    <row r="5" spans="1:37" s="57" customFormat="1">
      <c r="A5" s="167"/>
      <c r="B5" s="167"/>
      <c r="C5" s="167"/>
      <c r="D5" s="64" t="s">
        <v>10</v>
      </c>
      <c r="E5" s="64"/>
      <c r="F5" s="64"/>
      <c r="G5" s="64"/>
      <c r="H5" s="64"/>
      <c r="I5" s="64"/>
      <c r="J5" s="64"/>
      <c r="K5" s="64"/>
      <c r="L5" s="108"/>
      <c r="M5" s="64"/>
      <c r="N5" s="64"/>
      <c r="O5" s="64"/>
      <c r="P5" s="64"/>
      <c r="Q5" s="64"/>
      <c r="R5" s="64"/>
      <c r="S5" s="64"/>
      <c r="T5" s="64"/>
      <c r="U5" s="64"/>
      <c r="V5" s="64"/>
      <c r="W5" s="64"/>
      <c r="X5" s="64"/>
      <c r="Y5" s="64"/>
      <c r="Z5" s="64"/>
      <c r="AA5" s="64"/>
      <c r="AB5" s="126"/>
      <c r="AC5" s="27"/>
      <c r="AD5" s="27"/>
      <c r="AE5" s="27"/>
      <c r="AF5" s="27" t="s">
        <v>7</v>
      </c>
      <c r="AG5" s="27" t="s">
        <v>9</v>
      </c>
      <c r="AH5" s="27" t="s">
        <v>12</v>
      </c>
      <c r="AI5" s="27" t="s">
        <v>13</v>
      </c>
      <c r="AJ5" s="27" t="s">
        <v>14</v>
      </c>
    </row>
    <row r="6" spans="1:37" s="57" customFormat="1" ht="30">
      <c r="A6" s="186"/>
      <c r="B6" s="187"/>
      <c r="C6" s="188"/>
      <c r="D6" s="64" t="s">
        <v>11</v>
      </c>
      <c r="E6" s="64"/>
      <c r="F6" s="64"/>
      <c r="G6" s="64"/>
      <c r="H6" s="64"/>
      <c r="I6" s="64"/>
      <c r="J6" s="64"/>
      <c r="K6" s="64"/>
      <c r="L6" s="108"/>
      <c r="M6" s="64"/>
      <c r="N6" s="64"/>
      <c r="O6" s="64"/>
      <c r="P6" s="64"/>
      <c r="Q6" s="64"/>
      <c r="R6" s="64"/>
      <c r="S6" s="64"/>
      <c r="T6" s="64"/>
      <c r="U6" s="64"/>
      <c r="V6" s="64"/>
      <c r="W6" s="64"/>
      <c r="X6" s="64"/>
      <c r="Y6" s="64"/>
      <c r="Z6" s="64"/>
      <c r="AA6" s="64"/>
      <c r="AB6" s="127"/>
      <c r="AC6" s="28"/>
      <c r="AD6" s="28"/>
      <c r="AE6" s="28"/>
      <c r="AF6" s="28" t="s">
        <v>8</v>
      </c>
      <c r="AG6" s="28" t="s">
        <v>8</v>
      </c>
      <c r="AH6" s="28" t="s">
        <v>8</v>
      </c>
      <c r="AI6" s="28" t="s">
        <v>8</v>
      </c>
      <c r="AJ6" s="28" t="s">
        <v>8</v>
      </c>
    </row>
    <row r="7" spans="1:37" s="115" customFormat="1" ht="14">
      <c r="A7" s="130" t="s">
        <v>435</v>
      </c>
      <c r="B7" s="116"/>
      <c r="C7" s="43"/>
      <c r="D7" s="41"/>
      <c r="E7" s="41"/>
      <c r="G7" s="41"/>
      <c r="H7" s="41"/>
      <c r="K7" s="41"/>
      <c r="L7" s="111"/>
      <c r="M7" s="41"/>
      <c r="N7" s="41"/>
      <c r="O7" s="116"/>
      <c r="Z7" s="41"/>
      <c r="AA7" s="41"/>
      <c r="AB7" s="41"/>
      <c r="AC7" s="39"/>
      <c r="AD7" s="39"/>
      <c r="AE7" s="39"/>
      <c r="AF7" s="39"/>
      <c r="AG7" s="39"/>
    </row>
    <row r="8" spans="1:37" s="115" customFormat="1" ht="14">
      <c r="A8" s="41"/>
      <c r="B8" s="116"/>
      <c r="C8" s="43"/>
      <c r="D8" s="43"/>
      <c r="E8" s="41" t="e">
        <f>_xlfn.CONCAT(RIGHT(L8,2),RIGHT(M8,1),MID(K8,4,2),"0",RIGHT(R8,2))</f>
        <v>#VALUE!</v>
      </c>
      <c r="F8" s="115" t="str">
        <f>_xlfn.CONCAT(D8," - ",C8,IF(ISBLANK(B8),"",_xlfn.CONCAT(" Rm ",B8)))</f>
        <v xml:space="preserve"> - </v>
      </c>
      <c r="G8" s="43"/>
      <c r="H8" s="41"/>
      <c r="J8" s="161"/>
      <c r="K8" s="41"/>
      <c r="L8" s="111"/>
      <c r="M8" s="41"/>
      <c r="N8" s="41"/>
      <c r="O8" s="116"/>
      <c r="P8" s="116"/>
      <c r="R8" s="115" t="e">
        <f>IF(AND(O8&lt;&gt;"", P8&lt;&gt;""), "MAC &amp; IP cannot both have values", _xlfn.CONCAT("1000"+RIGHT(L8,2),RIGHT(M8,1),"00")+O8+P8)</f>
        <v>#VALUE!</v>
      </c>
      <c r="Z8" s="41" t="s">
        <v>468</v>
      </c>
      <c r="AA8" s="41" t="s">
        <v>468</v>
      </c>
      <c r="AB8" s="41"/>
      <c r="AC8" s="39"/>
      <c r="AD8" s="39"/>
      <c r="AE8" s="39"/>
      <c r="AF8" s="39"/>
      <c r="AG8" s="39"/>
    </row>
    <row r="9" spans="1:37" s="115" customFormat="1" ht="14">
      <c r="A9" s="41"/>
      <c r="B9" s="116"/>
      <c r="C9" s="43"/>
      <c r="D9" s="43"/>
      <c r="E9" s="41" t="e">
        <f>_xlfn.CONCAT(RIGHT(L9,2),RIGHT(M9,1),MID(K9,4,2),"0",RIGHT(R9,2))</f>
        <v>#VALUE!</v>
      </c>
      <c r="F9" s="115" t="str">
        <f>_xlfn.CONCAT(D9," - ",C9,IF(ISBLANK(B9),"",_xlfn.CONCAT(" Rm ",B9)))</f>
        <v xml:space="preserve"> - </v>
      </c>
      <c r="G9" s="43"/>
      <c r="H9" s="41"/>
      <c r="J9" s="161"/>
      <c r="K9" s="41"/>
      <c r="L9" s="111"/>
      <c r="M9" s="41"/>
      <c r="N9" s="41"/>
      <c r="O9" s="116"/>
      <c r="P9" s="116"/>
      <c r="R9" s="115" t="e">
        <f>IF(AND(O9&lt;&gt;"", P9&lt;&gt;""), "MAC &amp; IP cannot both have values", _xlfn.CONCAT("1000"+RIGHT(L9,2),RIGHT(M9,1),"00")+O9+P9)</f>
        <v>#VALUE!</v>
      </c>
      <c r="Z9" s="41" t="s">
        <v>442</v>
      </c>
      <c r="AA9" s="41" t="s">
        <v>442</v>
      </c>
      <c r="AB9" s="41"/>
      <c r="AC9" s="39"/>
      <c r="AD9" s="39"/>
      <c r="AE9" s="39"/>
      <c r="AF9" s="39"/>
      <c r="AG9" s="39"/>
    </row>
    <row r="10" spans="1:37" s="115" customFormat="1" ht="14">
      <c r="A10" s="41"/>
      <c r="B10" s="116"/>
      <c r="C10" s="43"/>
      <c r="D10" s="41"/>
      <c r="E10" s="41"/>
      <c r="G10" s="41"/>
      <c r="H10" s="41"/>
      <c r="K10" s="41"/>
      <c r="L10" s="111"/>
      <c r="M10" s="41"/>
      <c r="N10" s="41"/>
      <c r="O10" s="116"/>
      <c r="P10" s="116"/>
      <c r="Z10" s="41"/>
      <c r="AA10" s="41"/>
      <c r="AB10" s="41"/>
      <c r="AC10" s="39"/>
      <c r="AD10" s="39"/>
      <c r="AE10" s="39"/>
      <c r="AF10" s="39"/>
      <c r="AG10" s="39"/>
    </row>
    <row r="11" spans="1:37" s="115" customFormat="1" ht="14">
      <c r="A11" s="130" t="s">
        <v>436</v>
      </c>
      <c r="B11" s="116"/>
      <c r="C11" s="43"/>
      <c r="D11" s="41"/>
      <c r="E11" s="41"/>
      <c r="G11" s="41"/>
      <c r="H11" s="41"/>
      <c r="K11" s="41"/>
      <c r="L11" s="111"/>
      <c r="M11" s="41"/>
      <c r="N11" s="41"/>
      <c r="O11" s="116"/>
      <c r="Z11" s="41"/>
      <c r="AA11" s="41"/>
      <c r="AB11" s="41"/>
      <c r="AC11" s="39"/>
      <c r="AD11" s="39"/>
      <c r="AE11" s="39"/>
      <c r="AF11" s="39"/>
      <c r="AG11" s="39"/>
    </row>
    <row r="12" spans="1:37" s="115" customFormat="1" ht="14">
      <c r="A12" s="41"/>
      <c r="B12" s="116"/>
      <c r="C12" s="41"/>
      <c r="D12" s="41"/>
      <c r="E12" s="41" t="e">
        <f>_xlfn.CONCAT(RIGHT(L12,2),RIGHT(M12,1),MID(K12,4,2),"0",RIGHT(R12,2))</f>
        <v>#VALUE!</v>
      </c>
      <c r="F12" s="115" t="str">
        <f>_xlfn.CONCAT(D12," - ",C12,IF(ISBLANK(B12),"",_xlfn.CONCAT(" Rm ",B12)))</f>
        <v xml:space="preserve"> - </v>
      </c>
      <c r="G12" s="41"/>
      <c r="H12" s="41"/>
      <c r="I12" s="43"/>
      <c r="J12" s="161"/>
      <c r="K12" s="41"/>
      <c r="L12" s="111"/>
      <c r="M12" s="41"/>
      <c r="N12" s="41"/>
      <c r="O12" s="116"/>
      <c r="R12" s="115" t="e">
        <f>IF(AND(O12&lt;&gt;"", P12&lt;&gt;""), "MAC &amp; IP cannot both have values", _xlfn.CONCAT("1000"+RIGHT(L12,2),RIGHT(M12,1),"00")+O12+P12)</f>
        <v>#VALUE!</v>
      </c>
      <c r="Z12" s="41" t="s">
        <v>470</v>
      </c>
      <c r="AA12" s="41" t="s">
        <v>470</v>
      </c>
      <c r="AB12" s="41"/>
      <c r="AC12" s="39"/>
      <c r="AD12" s="39"/>
      <c r="AE12" s="39"/>
      <c r="AF12" s="39"/>
      <c r="AG12" s="131"/>
    </row>
    <row r="13" spans="1:37" s="115" customFormat="1" ht="14">
      <c r="A13" s="41"/>
      <c r="B13" s="116"/>
      <c r="C13" s="41"/>
      <c r="D13" s="41"/>
      <c r="E13" s="41" t="e">
        <f>_xlfn.CONCAT(RIGHT(L13,2),RIGHT(M13,1),MID(K13,4,2),"0",RIGHT(R13,2))</f>
        <v>#VALUE!</v>
      </c>
      <c r="F13" s="115" t="str">
        <f>_xlfn.CONCAT(D13," - ",C13,IF(ISBLANK(B13),"",_xlfn.CONCAT(" Rm ",B13)))</f>
        <v xml:space="preserve"> - </v>
      </c>
      <c r="G13" s="41"/>
      <c r="H13" s="41"/>
      <c r="I13" s="43"/>
      <c r="J13" s="161"/>
      <c r="K13" s="41"/>
      <c r="L13" s="111"/>
      <c r="M13" s="41"/>
      <c r="N13" s="41"/>
      <c r="O13" s="116"/>
      <c r="R13" s="115" t="e">
        <f>IF(AND(O13&lt;&gt;"", P13&lt;&gt;""), "MAC &amp; IP cannot both have values", _xlfn.CONCAT("1000"+RIGHT(L13,2),RIGHT(M13,1),"00")+O13+P13)</f>
        <v>#VALUE!</v>
      </c>
      <c r="Z13" s="41" t="s">
        <v>470</v>
      </c>
      <c r="AA13" s="41" t="s">
        <v>470</v>
      </c>
      <c r="AB13" s="41"/>
      <c r="AC13" s="39"/>
      <c r="AD13" s="39"/>
      <c r="AE13" s="39"/>
      <c r="AF13" s="39"/>
      <c r="AG13" s="131"/>
    </row>
    <row r="14" spans="1:37" s="115" customFormat="1" ht="14">
      <c r="A14" s="41"/>
      <c r="B14" s="116"/>
      <c r="C14" s="41"/>
      <c r="D14" s="41"/>
      <c r="E14" s="41" t="e">
        <f>_xlfn.CONCAT(RIGHT(L14,2),RIGHT(M14,1),MID(K14,4,2),"0",RIGHT(R14,2))</f>
        <v>#VALUE!</v>
      </c>
      <c r="F14" s="115" t="str">
        <f>_xlfn.CONCAT(D14," - ",C14,IF(ISBLANK(B14),"",_xlfn.CONCAT(" Rm ",B14)))</f>
        <v xml:space="preserve"> - </v>
      </c>
      <c r="G14" s="41"/>
      <c r="H14" s="41"/>
      <c r="I14" s="43"/>
      <c r="J14" s="161"/>
      <c r="K14" s="41"/>
      <c r="L14" s="111"/>
      <c r="M14" s="41"/>
      <c r="N14" s="41"/>
      <c r="O14" s="116"/>
      <c r="R14" s="115" t="e">
        <f>IF(AND(O14&lt;&gt;"", P14&lt;&gt;""), "MAC &amp; IP cannot both have values", _xlfn.CONCAT("1000"+RIGHT(L14,2),RIGHT(M14,1),"00")+O14+P14)</f>
        <v>#VALUE!</v>
      </c>
      <c r="Z14" s="41" t="s">
        <v>470</v>
      </c>
      <c r="AA14" s="41" t="s">
        <v>470</v>
      </c>
      <c r="AB14" s="41"/>
      <c r="AC14" s="39"/>
      <c r="AD14" s="39"/>
      <c r="AE14" s="39"/>
      <c r="AF14" s="39"/>
      <c r="AG14" s="131"/>
    </row>
    <row r="15" spans="1:37" s="115" customFormat="1" ht="14">
      <c r="A15" s="41"/>
      <c r="B15" s="116"/>
      <c r="C15" s="41"/>
      <c r="D15" s="41"/>
      <c r="E15" s="41"/>
      <c r="G15" s="41"/>
      <c r="H15" s="41"/>
      <c r="K15" s="41"/>
      <c r="L15" s="111"/>
      <c r="M15" s="41"/>
      <c r="N15" s="41"/>
      <c r="O15" s="116"/>
      <c r="Z15" s="41"/>
      <c r="AA15" s="41"/>
      <c r="AB15" s="41"/>
      <c r="AC15" s="39"/>
      <c r="AD15" s="39"/>
      <c r="AE15" s="39"/>
      <c r="AF15" s="39"/>
      <c r="AG15" s="131"/>
    </row>
    <row r="16" spans="1:37" s="115" customFormat="1" ht="14">
      <c r="A16" s="130" t="s">
        <v>437</v>
      </c>
      <c r="B16" s="116"/>
      <c r="C16" s="43"/>
      <c r="D16" s="41"/>
      <c r="E16" s="41"/>
      <c r="G16" s="41"/>
      <c r="H16" s="41"/>
      <c r="K16" s="41"/>
      <c r="L16" s="111"/>
      <c r="M16" s="41"/>
      <c r="N16" s="41"/>
      <c r="O16" s="116"/>
      <c r="Z16" s="41"/>
      <c r="AA16" s="41"/>
      <c r="AB16" s="41"/>
      <c r="AC16" s="39"/>
      <c r="AD16" s="39"/>
      <c r="AE16" s="39"/>
      <c r="AF16" s="39"/>
      <c r="AG16" s="39"/>
    </row>
    <row r="17" spans="1:36" s="115" customFormat="1" ht="14">
      <c r="A17" s="41"/>
      <c r="B17" s="160"/>
      <c r="C17" s="43"/>
      <c r="D17" s="41"/>
      <c r="E17" s="41" t="e">
        <f>_xlfn.CONCAT(RIGHT(L17,2),RIGHT(M17,1),MID(K17,4,2),"0",RIGHT(R17,2))</f>
        <v>#VALUE!</v>
      </c>
      <c r="F17" s="115" t="str">
        <f>_xlfn.CONCAT(D17," - ",C17,IF(ISBLANK(B17),"",_xlfn.CONCAT(" Rm ",B17)))</f>
        <v xml:space="preserve"> - </v>
      </c>
      <c r="G17" s="41"/>
      <c r="H17" s="41"/>
      <c r="J17" s="161"/>
      <c r="K17" s="41"/>
      <c r="L17" s="111"/>
      <c r="M17" s="41"/>
      <c r="N17" s="41"/>
      <c r="O17" s="116"/>
      <c r="P17" s="116"/>
      <c r="R17" s="115" t="e">
        <f>IF(AND(O17&lt;&gt;"", P17&lt;&gt;""), "MAC &amp; IP cannot both have values", _xlfn.CONCAT("1000"+RIGHT(L17,2),RIGHT(M17,1),"00")+O17+P17)</f>
        <v>#VALUE!</v>
      </c>
      <c r="Z17" s="41" t="s">
        <v>432</v>
      </c>
      <c r="AA17" s="41" t="s">
        <v>433</v>
      </c>
      <c r="AB17" s="41" t="s">
        <v>467</v>
      </c>
      <c r="AC17" s="39" t="b">
        <f>IF(AND(NOT(ISBLANK(AA17)),NOT(EXACT(AA17,"VAV-CLG"))),TRUE,FALSE)</f>
        <v>1</v>
      </c>
      <c r="AD17" s="39" t="b">
        <f>IF(EXACT(AA17,"VAV-RAD"),TRUE,FALSE)</f>
        <v>0</v>
      </c>
      <c r="AE17" s="39">
        <v>8</v>
      </c>
      <c r="AF17" s="39">
        <f>VLOOKUP($AE17,Manufacturer!$B$2:$E$22,3)</f>
        <v>0.35</v>
      </c>
      <c r="AG17" s="39">
        <f>VLOOKUP($AE17,Manufacturer!$B$2:$E$22,4)</f>
        <v>2.39</v>
      </c>
      <c r="AH17" s="115">
        <v>860</v>
      </c>
      <c r="AI17" s="115">
        <v>500</v>
      </c>
      <c r="AJ17" s="115">
        <v>500</v>
      </c>
    </row>
    <row r="18" spans="1:36" s="115" customFormat="1" ht="14">
      <c r="A18" s="41"/>
      <c r="B18" s="160"/>
      <c r="C18" s="43"/>
      <c r="D18" s="41"/>
      <c r="E18" s="41" t="e">
        <f t="shared" ref="E18:E29" si="0">_xlfn.CONCAT(RIGHT(L18,2),RIGHT(M18,1),MID(K18,4,2),"0",RIGHT(R18,2))</f>
        <v>#VALUE!</v>
      </c>
      <c r="F18" s="115" t="str">
        <f t="shared" ref="F18:F29" si="1">_xlfn.CONCAT(D18," - ",C18,IF(ISBLANK(B18),"",_xlfn.CONCAT(" Rm ",B18)))</f>
        <v xml:space="preserve"> - </v>
      </c>
      <c r="G18" s="41"/>
      <c r="H18" s="41"/>
      <c r="J18" s="161"/>
      <c r="K18" s="41"/>
      <c r="L18" s="111"/>
      <c r="M18" s="41"/>
      <c r="N18" s="41"/>
      <c r="O18" s="116"/>
      <c r="P18" s="116"/>
      <c r="R18" s="115" t="e">
        <f t="shared" ref="R18:R36" si="2">IF(AND(O18&lt;&gt;"", P18&lt;&gt;""), "MAC &amp; IP cannot both have values", _xlfn.CONCAT("1000"+RIGHT(L18,2),RIGHT(M18,1),"00")+O18+P18)</f>
        <v>#VALUE!</v>
      </c>
      <c r="Z18" s="41" t="s">
        <v>432</v>
      </c>
      <c r="AA18" s="41" t="s">
        <v>433</v>
      </c>
      <c r="AB18" s="41" t="s">
        <v>467</v>
      </c>
      <c r="AC18" s="39" t="b">
        <f t="shared" ref="AC18:AC29" si="3">IF(AND(NOT(ISBLANK(AA18)),NOT(EXACT(AA18,"VAV-CLG"))),TRUE,FALSE)</f>
        <v>1</v>
      </c>
      <c r="AD18" s="39" t="b">
        <f t="shared" ref="AD18:AD29" si="4">IF(EXACT(AA18,"VAV-RAD"),TRUE,FALSE)</f>
        <v>0</v>
      </c>
      <c r="AE18" s="39">
        <v>7</v>
      </c>
      <c r="AF18" s="39">
        <f>VLOOKUP($AE18,Manufacturer!$B$2:$E$22,3)</f>
        <v>0.27</v>
      </c>
      <c r="AG18" s="39">
        <f>VLOOKUP($AE18,Manufacturer!$B$2:$E$22,4)</f>
        <v>2.57</v>
      </c>
      <c r="AH18" s="115">
        <v>550</v>
      </c>
      <c r="AI18" s="115">
        <v>350</v>
      </c>
      <c r="AJ18" s="115">
        <v>350</v>
      </c>
    </row>
    <row r="19" spans="1:36" s="115" customFormat="1" ht="14">
      <c r="A19" s="41"/>
      <c r="B19" s="160"/>
      <c r="C19" s="43"/>
      <c r="D19" s="41"/>
      <c r="E19" s="41" t="e">
        <f t="shared" si="0"/>
        <v>#VALUE!</v>
      </c>
      <c r="F19" s="115" t="str">
        <f t="shared" si="1"/>
        <v xml:space="preserve"> - </v>
      </c>
      <c r="G19" s="41"/>
      <c r="H19" s="41"/>
      <c r="J19" s="161"/>
      <c r="K19" s="41"/>
      <c r="L19" s="111"/>
      <c r="M19" s="41"/>
      <c r="N19" s="41"/>
      <c r="O19" s="116"/>
      <c r="P19" s="116"/>
      <c r="R19" s="115" t="e">
        <f t="shared" si="2"/>
        <v>#VALUE!</v>
      </c>
      <c r="Z19" s="41" t="s">
        <v>432</v>
      </c>
      <c r="AA19" s="41" t="s">
        <v>433</v>
      </c>
      <c r="AB19" s="41" t="s">
        <v>467</v>
      </c>
      <c r="AC19" s="39" t="b">
        <f t="shared" si="3"/>
        <v>1</v>
      </c>
      <c r="AD19" s="39" t="b">
        <f t="shared" si="4"/>
        <v>0</v>
      </c>
      <c r="AE19" s="39">
        <v>8</v>
      </c>
      <c r="AF19" s="39">
        <f>VLOOKUP($AE19,Manufacturer!$B$2:$E$22,3)</f>
        <v>0.35</v>
      </c>
      <c r="AG19" s="39">
        <f>VLOOKUP($AE19,Manufacturer!$B$2:$E$22,4)</f>
        <v>2.39</v>
      </c>
      <c r="AH19" s="115">
        <v>880</v>
      </c>
      <c r="AI19" s="115">
        <v>360</v>
      </c>
      <c r="AJ19" s="115">
        <v>360</v>
      </c>
    </row>
    <row r="20" spans="1:36" s="115" customFormat="1" ht="14">
      <c r="A20" s="41"/>
      <c r="B20" s="163"/>
      <c r="C20" s="43"/>
      <c r="D20" s="41"/>
      <c r="E20" s="41" t="e">
        <f t="shared" si="0"/>
        <v>#VALUE!</v>
      </c>
      <c r="F20" s="115" t="str">
        <f t="shared" si="1"/>
        <v xml:space="preserve"> - </v>
      </c>
      <c r="G20" s="41"/>
      <c r="H20" s="41"/>
      <c r="J20" s="161"/>
      <c r="K20" s="41"/>
      <c r="L20" s="111"/>
      <c r="M20" s="41"/>
      <c r="N20" s="41"/>
      <c r="O20" s="116"/>
      <c r="P20" s="116"/>
      <c r="R20" s="115" t="e">
        <f t="shared" si="2"/>
        <v>#VALUE!</v>
      </c>
      <c r="Z20" s="41" t="s">
        <v>432</v>
      </c>
      <c r="AA20" s="41" t="s">
        <v>433</v>
      </c>
      <c r="AB20" s="41" t="s">
        <v>467</v>
      </c>
      <c r="AC20" s="39" t="b">
        <f t="shared" si="3"/>
        <v>1</v>
      </c>
      <c r="AD20" s="39" t="b">
        <f t="shared" si="4"/>
        <v>0</v>
      </c>
      <c r="AE20" s="39">
        <v>7</v>
      </c>
      <c r="AF20" s="39">
        <f>VLOOKUP($AE20,Manufacturer!$B$2:$E$22,3)</f>
        <v>0.27</v>
      </c>
      <c r="AG20" s="39">
        <f>VLOOKUP($AE20,Manufacturer!$B$2:$E$22,4)</f>
        <v>2.57</v>
      </c>
      <c r="AH20" s="115">
        <v>600</v>
      </c>
      <c r="AI20" s="115">
        <v>220</v>
      </c>
      <c r="AJ20" s="115">
        <v>220</v>
      </c>
    </row>
    <row r="21" spans="1:36" s="115" customFormat="1" ht="14">
      <c r="A21" s="41"/>
      <c r="B21" s="160"/>
      <c r="C21" s="43"/>
      <c r="D21" s="41"/>
      <c r="E21" s="41" t="e">
        <f t="shared" si="0"/>
        <v>#VALUE!</v>
      </c>
      <c r="F21" s="115" t="str">
        <f t="shared" si="1"/>
        <v xml:space="preserve"> - </v>
      </c>
      <c r="G21" s="41"/>
      <c r="H21" s="41"/>
      <c r="J21" s="161"/>
      <c r="K21" s="41"/>
      <c r="L21" s="111"/>
      <c r="M21" s="41"/>
      <c r="N21" s="41"/>
      <c r="O21" s="116"/>
      <c r="P21" s="116"/>
      <c r="R21" s="115" t="e">
        <f t="shared" si="2"/>
        <v>#VALUE!</v>
      </c>
      <c r="Z21" s="41" t="s">
        <v>432</v>
      </c>
      <c r="AA21" s="41" t="s">
        <v>433</v>
      </c>
      <c r="AB21" s="41" t="s">
        <v>467</v>
      </c>
      <c r="AC21" s="39" t="b">
        <f t="shared" si="3"/>
        <v>1</v>
      </c>
      <c r="AD21" s="39" t="b">
        <f t="shared" si="4"/>
        <v>0</v>
      </c>
      <c r="AE21" s="39">
        <v>8</v>
      </c>
      <c r="AF21" s="39">
        <f>VLOOKUP($AE21,Manufacturer!$B$2:$E$22,3)</f>
        <v>0.35</v>
      </c>
      <c r="AG21" s="39">
        <f>VLOOKUP($AE21,Manufacturer!$B$2:$E$22,4)</f>
        <v>2.39</v>
      </c>
      <c r="AH21" s="115">
        <v>845</v>
      </c>
      <c r="AI21" s="115">
        <v>420</v>
      </c>
      <c r="AJ21" s="115">
        <v>420</v>
      </c>
    </row>
    <row r="22" spans="1:36" s="115" customFormat="1" ht="14">
      <c r="A22" s="41"/>
      <c r="B22" s="160"/>
      <c r="C22" s="43"/>
      <c r="D22" s="41"/>
      <c r="E22" s="41" t="e">
        <f t="shared" si="0"/>
        <v>#VALUE!</v>
      </c>
      <c r="F22" s="115" t="str">
        <f t="shared" si="1"/>
        <v xml:space="preserve"> - </v>
      </c>
      <c r="G22" s="41"/>
      <c r="H22" s="41"/>
      <c r="J22" s="161"/>
      <c r="K22" s="41"/>
      <c r="L22" s="111"/>
      <c r="M22" s="41"/>
      <c r="N22" s="41"/>
      <c r="O22" s="116"/>
      <c r="P22" s="116"/>
      <c r="R22" s="115" t="e">
        <f t="shared" si="2"/>
        <v>#VALUE!</v>
      </c>
      <c r="Z22" s="41" t="s">
        <v>432</v>
      </c>
      <c r="AA22" s="41" t="s">
        <v>433</v>
      </c>
      <c r="AB22" s="41" t="s">
        <v>467</v>
      </c>
      <c r="AC22" s="39" t="b">
        <f t="shared" si="3"/>
        <v>1</v>
      </c>
      <c r="AD22" s="39" t="b">
        <f t="shared" si="4"/>
        <v>0</v>
      </c>
      <c r="AE22" s="39">
        <v>5</v>
      </c>
      <c r="AF22" s="39">
        <f>VLOOKUP($AE22,Manufacturer!$B$2:$E$22,3)</f>
        <v>0.14000000000000001</v>
      </c>
      <c r="AG22" s="39">
        <f>VLOOKUP($AE22,Manufacturer!$B$2:$E$22,4)</f>
        <v>1.95</v>
      </c>
      <c r="AH22" s="115">
        <v>350</v>
      </c>
      <c r="AI22" s="115">
        <v>150</v>
      </c>
      <c r="AJ22" s="115">
        <v>150</v>
      </c>
    </row>
    <row r="23" spans="1:36" s="115" customFormat="1" ht="14">
      <c r="A23" s="41"/>
      <c r="B23" s="160"/>
      <c r="C23" s="43"/>
      <c r="D23" s="41"/>
      <c r="E23" s="41" t="e">
        <f t="shared" si="0"/>
        <v>#VALUE!</v>
      </c>
      <c r="F23" s="115" t="str">
        <f t="shared" si="1"/>
        <v xml:space="preserve"> - </v>
      </c>
      <c r="G23" s="41"/>
      <c r="H23" s="41"/>
      <c r="J23" s="161"/>
      <c r="K23" s="41"/>
      <c r="L23" s="111"/>
      <c r="M23" s="41"/>
      <c r="N23" s="41"/>
      <c r="O23" s="116"/>
      <c r="P23" s="116"/>
      <c r="R23" s="115" t="e">
        <f t="shared" si="2"/>
        <v>#VALUE!</v>
      </c>
      <c r="Z23" s="41" t="s">
        <v>432</v>
      </c>
      <c r="AA23" s="41" t="s">
        <v>433</v>
      </c>
      <c r="AB23" s="41" t="s">
        <v>467</v>
      </c>
      <c r="AC23" s="39" t="b">
        <f t="shared" si="3"/>
        <v>1</v>
      </c>
      <c r="AD23" s="39" t="b">
        <f t="shared" si="4"/>
        <v>0</v>
      </c>
      <c r="AE23" s="39">
        <v>8</v>
      </c>
      <c r="AF23" s="39">
        <f>VLOOKUP($AE23,Manufacturer!$B$2:$E$22,3)</f>
        <v>0.35</v>
      </c>
      <c r="AG23" s="39">
        <f>VLOOKUP($AE23,Manufacturer!$B$2:$E$22,4)</f>
        <v>2.39</v>
      </c>
      <c r="AH23" s="115">
        <v>860</v>
      </c>
      <c r="AI23" s="115">
        <v>400</v>
      </c>
      <c r="AJ23" s="115">
        <v>400</v>
      </c>
    </row>
    <row r="24" spans="1:36" s="115" customFormat="1" ht="14">
      <c r="A24" s="41"/>
      <c r="B24" s="160"/>
      <c r="C24" s="43"/>
      <c r="D24" s="41"/>
      <c r="E24" s="41" t="e">
        <f t="shared" si="0"/>
        <v>#VALUE!</v>
      </c>
      <c r="F24" s="115" t="str">
        <f t="shared" si="1"/>
        <v xml:space="preserve"> - </v>
      </c>
      <c r="G24" s="41"/>
      <c r="H24" s="41"/>
      <c r="J24" s="161"/>
      <c r="K24" s="41"/>
      <c r="L24" s="111"/>
      <c r="M24" s="41"/>
      <c r="N24" s="41"/>
      <c r="O24" s="116"/>
      <c r="P24" s="116"/>
      <c r="R24" s="115" t="e">
        <f t="shared" si="2"/>
        <v>#VALUE!</v>
      </c>
      <c r="Z24" s="41" t="s">
        <v>432</v>
      </c>
      <c r="AA24" s="41" t="s">
        <v>433</v>
      </c>
      <c r="AB24" s="41" t="s">
        <v>467</v>
      </c>
      <c r="AC24" s="39" t="b">
        <f t="shared" si="3"/>
        <v>1</v>
      </c>
      <c r="AD24" s="39" t="b">
        <f t="shared" si="4"/>
        <v>0</v>
      </c>
      <c r="AE24" s="39">
        <v>6</v>
      </c>
      <c r="AF24" s="39">
        <f>VLOOKUP($AE24,Manufacturer!$B$2:$E$22,3)</f>
        <v>0.2</v>
      </c>
      <c r="AG24" s="39">
        <f>VLOOKUP($AE24,Manufacturer!$B$2:$E$22,4)</f>
        <v>3.07</v>
      </c>
      <c r="AH24" s="115">
        <v>360</v>
      </c>
      <c r="AI24" s="115">
        <v>90</v>
      </c>
      <c r="AJ24" s="115">
        <v>90</v>
      </c>
    </row>
    <row r="25" spans="1:36" s="115" customFormat="1" ht="14">
      <c r="A25" s="41"/>
      <c r="B25" s="163"/>
      <c r="C25" s="43"/>
      <c r="D25" s="41"/>
      <c r="E25" s="41" t="e">
        <f t="shared" si="0"/>
        <v>#VALUE!</v>
      </c>
      <c r="F25" s="115" t="str">
        <f t="shared" si="1"/>
        <v xml:space="preserve"> - </v>
      </c>
      <c r="G25" s="41"/>
      <c r="H25" s="41"/>
      <c r="J25" s="161"/>
      <c r="K25" s="41"/>
      <c r="L25" s="111"/>
      <c r="M25" s="41"/>
      <c r="N25" s="41"/>
      <c r="O25" s="116"/>
      <c r="P25" s="116"/>
      <c r="R25" s="115" t="e">
        <f t="shared" si="2"/>
        <v>#VALUE!</v>
      </c>
      <c r="Z25" s="41" t="s">
        <v>432</v>
      </c>
      <c r="AA25" s="41" t="s">
        <v>433</v>
      </c>
      <c r="AB25" s="41" t="s">
        <v>467</v>
      </c>
      <c r="AC25" s="39" t="b">
        <f t="shared" si="3"/>
        <v>1</v>
      </c>
      <c r="AD25" s="39" t="b">
        <f t="shared" si="4"/>
        <v>0</v>
      </c>
      <c r="AE25" s="39">
        <v>5</v>
      </c>
      <c r="AF25" s="39">
        <f>VLOOKUP($AE25,Manufacturer!$B$2:$E$22,3)</f>
        <v>0.14000000000000001</v>
      </c>
      <c r="AG25" s="39">
        <f>VLOOKUP($AE25,Manufacturer!$B$2:$E$22,4)</f>
        <v>1.95</v>
      </c>
      <c r="AH25" s="115">
        <v>350</v>
      </c>
      <c r="AI25" s="115">
        <v>150</v>
      </c>
      <c r="AJ25" s="115">
        <v>150</v>
      </c>
    </row>
    <row r="26" spans="1:36" s="115" customFormat="1" ht="14">
      <c r="A26" s="41"/>
      <c r="B26" s="160"/>
      <c r="C26" s="43"/>
      <c r="D26" s="41"/>
      <c r="E26" s="41" t="e">
        <f t="shared" si="0"/>
        <v>#VALUE!</v>
      </c>
      <c r="F26" s="115" t="str">
        <f t="shared" si="1"/>
        <v xml:space="preserve"> - </v>
      </c>
      <c r="G26" s="41"/>
      <c r="H26" s="41"/>
      <c r="J26" s="161"/>
      <c r="K26" s="41"/>
      <c r="L26" s="111"/>
      <c r="M26" s="41"/>
      <c r="N26" s="41"/>
      <c r="O26" s="116"/>
      <c r="P26" s="116"/>
      <c r="R26" s="115" t="e">
        <f t="shared" si="2"/>
        <v>#VALUE!</v>
      </c>
      <c r="Z26" s="41" t="s">
        <v>432</v>
      </c>
      <c r="AA26" s="41" t="s">
        <v>433</v>
      </c>
      <c r="AB26" s="41" t="s">
        <v>467</v>
      </c>
      <c r="AC26" s="39" t="b">
        <f t="shared" si="3"/>
        <v>1</v>
      </c>
      <c r="AD26" s="39" t="b">
        <f t="shared" si="4"/>
        <v>0</v>
      </c>
      <c r="AE26" s="39">
        <v>5</v>
      </c>
      <c r="AF26" s="39">
        <f>VLOOKUP($AE26,Manufacturer!$B$2:$E$22,3)</f>
        <v>0.14000000000000001</v>
      </c>
      <c r="AG26" s="39">
        <f>VLOOKUP($AE26,Manufacturer!$B$2:$E$22,4)</f>
        <v>1.95</v>
      </c>
      <c r="AH26" s="115">
        <v>280</v>
      </c>
      <c r="AI26" s="115">
        <v>80</v>
      </c>
      <c r="AJ26" s="115">
        <v>80</v>
      </c>
    </row>
    <row r="27" spans="1:36" s="115" customFormat="1" ht="14">
      <c r="A27" s="41"/>
      <c r="B27" s="160"/>
      <c r="C27" s="43"/>
      <c r="D27" s="41"/>
      <c r="E27" s="41" t="e">
        <f t="shared" si="0"/>
        <v>#VALUE!</v>
      </c>
      <c r="F27" s="115" t="str">
        <f t="shared" si="1"/>
        <v xml:space="preserve"> - </v>
      </c>
      <c r="G27" s="41"/>
      <c r="H27" s="41"/>
      <c r="J27" s="161"/>
      <c r="K27" s="41"/>
      <c r="L27" s="111"/>
      <c r="M27" s="41"/>
      <c r="N27" s="41"/>
      <c r="O27" s="116"/>
      <c r="P27" s="116"/>
      <c r="R27" s="115" t="e">
        <f t="shared" si="2"/>
        <v>#VALUE!</v>
      </c>
      <c r="Z27" s="41" t="s">
        <v>432</v>
      </c>
      <c r="AA27" s="41" t="s">
        <v>433</v>
      </c>
      <c r="AB27" s="41" t="s">
        <v>467</v>
      </c>
      <c r="AC27" s="39" t="b">
        <f t="shared" si="3"/>
        <v>1</v>
      </c>
      <c r="AD27" s="39" t="b">
        <f t="shared" si="4"/>
        <v>0</v>
      </c>
      <c r="AE27" s="39">
        <v>9</v>
      </c>
      <c r="AF27" s="39">
        <f>VLOOKUP($AE27,Manufacturer!$B$2:$E$22,3)</f>
        <v>0.44</v>
      </c>
      <c r="AG27" s="39">
        <f>VLOOKUP($AE27,Manufacturer!$B$2:$E$22,4)</f>
        <v>2.2999999999999998</v>
      </c>
      <c r="AH27" s="115">
        <v>940</v>
      </c>
      <c r="AI27" s="115">
        <v>580</v>
      </c>
      <c r="AJ27" s="115">
        <v>580</v>
      </c>
    </row>
    <row r="28" spans="1:36" s="115" customFormat="1" ht="14">
      <c r="A28" s="41"/>
      <c r="B28" s="160"/>
      <c r="C28" s="43"/>
      <c r="D28" s="41"/>
      <c r="E28" s="41" t="e">
        <f t="shared" si="0"/>
        <v>#VALUE!</v>
      </c>
      <c r="F28" s="115" t="str">
        <f t="shared" si="1"/>
        <v xml:space="preserve"> - </v>
      </c>
      <c r="G28" s="41"/>
      <c r="H28" s="41"/>
      <c r="J28" s="161"/>
      <c r="K28" s="41"/>
      <c r="L28" s="111"/>
      <c r="M28" s="41"/>
      <c r="N28" s="41"/>
      <c r="O28" s="116"/>
      <c r="P28" s="116"/>
      <c r="R28" s="115" t="e">
        <f t="shared" si="2"/>
        <v>#VALUE!</v>
      </c>
      <c r="Z28" s="41" t="s">
        <v>432</v>
      </c>
      <c r="AA28" s="41" t="s">
        <v>433</v>
      </c>
      <c r="AB28" s="41" t="s">
        <v>467</v>
      </c>
      <c r="AC28" s="39" t="b">
        <f t="shared" si="3"/>
        <v>1</v>
      </c>
      <c r="AD28" s="39" t="b">
        <f t="shared" si="4"/>
        <v>0</v>
      </c>
      <c r="AE28" s="39">
        <v>40</v>
      </c>
      <c r="AF28" s="39">
        <f>VLOOKUP($AE28,Manufacturer!$B$2:$E$22,3)</f>
        <v>2.67</v>
      </c>
      <c r="AG28" s="39">
        <f>VLOOKUP($AE28,Manufacturer!$B$2:$E$22,4)</f>
        <v>2.2200000000000002</v>
      </c>
      <c r="AH28" s="115">
        <v>6800</v>
      </c>
      <c r="AI28" s="115">
        <v>1900</v>
      </c>
      <c r="AJ28" s="115">
        <v>1900</v>
      </c>
    </row>
    <row r="29" spans="1:36" s="115" customFormat="1" ht="14">
      <c r="A29" s="41"/>
      <c r="B29" s="160"/>
      <c r="C29" s="43"/>
      <c r="D29" s="41"/>
      <c r="E29" s="41" t="e">
        <f t="shared" si="0"/>
        <v>#VALUE!</v>
      </c>
      <c r="F29" s="115" t="str">
        <f t="shared" si="1"/>
        <v xml:space="preserve"> - </v>
      </c>
      <c r="G29" s="41"/>
      <c r="H29" s="41"/>
      <c r="J29" s="161"/>
      <c r="K29" s="41"/>
      <c r="L29" s="111"/>
      <c r="M29" s="41"/>
      <c r="N29" s="41"/>
      <c r="O29" s="116"/>
      <c r="P29" s="116"/>
      <c r="Q29" s="116"/>
      <c r="R29" s="115" t="e">
        <f t="shared" si="2"/>
        <v>#VALUE!</v>
      </c>
      <c r="Z29" s="41" t="s">
        <v>432</v>
      </c>
      <c r="AA29" s="41" t="s">
        <v>433</v>
      </c>
      <c r="AB29" s="41" t="s">
        <v>467</v>
      </c>
      <c r="AC29" s="39" t="b">
        <f t="shared" si="3"/>
        <v>1</v>
      </c>
      <c r="AD29" s="39" t="b">
        <f t="shared" si="4"/>
        <v>0</v>
      </c>
      <c r="AE29" s="39">
        <v>14</v>
      </c>
      <c r="AF29" s="39">
        <f>VLOOKUP($AE29,Manufacturer!$B$2:$E$22,3)</f>
        <v>1.07</v>
      </c>
      <c r="AG29" s="39">
        <f>VLOOKUP($AE29,Manufacturer!$B$2:$E$22,4)</f>
        <v>2.02</v>
      </c>
      <c r="AH29" s="115">
        <v>2600</v>
      </c>
      <c r="AI29" s="115">
        <v>910</v>
      </c>
      <c r="AJ29" s="115">
        <v>910</v>
      </c>
    </row>
    <row r="30" spans="1:36" s="115" customFormat="1" ht="14">
      <c r="A30" s="41"/>
      <c r="B30" s="160"/>
      <c r="C30" s="43"/>
      <c r="D30" s="41"/>
      <c r="E30" s="41" t="e">
        <f t="shared" ref="E30:E36" si="5">_xlfn.CONCAT(RIGHT(L30,2),RIGHT(M30,1),MID(K30,4,2),"0",RIGHT(R30,2))</f>
        <v>#VALUE!</v>
      </c>
      <c r="F30" s="115" t="str">
        <f>_xlfn.CONCAT(D30," - ",C30,IF(ISBLANK(B30),"",_xlfn.CONCAT(" Rm ",B30)))</f>
        <v xml:space="preserve"> - </v>
      </c>
      <c r="G30" s="41"/>
      <c r="H30" s="41"/>
      <c r="J30" s="161"/>
      <c r="K30" s="41"/>
      <c r="L30" s="111"/>
      <c r="M30" s="41"/>
      <c r="N30" s="41"/>
      <c r="O30" s="116"/>
      <c r="P30" s="116"/>
      <c r="R30" s="115" t="e">
        <f t="shared" si="2"/>
        <v>#VALUE!</v>
      </c>
      <c r="Z30" s="41" t="s">
        <v>432</v>
      </c>
      <c r="AA30" s="41" t="s">
        <v>433</v>
      </c>
      <c r="AB30" s="41" t="s">
        <v>469</v>
      </c>
      <c r="AC30" s="39" t="b">
        <f>IF(AND(NOT(ISBLANK(AA30)),NOT(EXACT(AA30,"VAV-CLG"))),TRUE,FALSE)</f>
        <v>1</v>
      </c>
      <c r="AD30" s="39" t="b">
        <f>IF(EXACT(AA30,"VAV-RAD"),TRUE,FALSE)</f>
        <v>0</v>
      </c>
      <c r="AE30" s="39">
        <v>8</v>
      </c>
      <c r="AF30" s="39">
        <f>VLOOKUP($AE30,Manufacturer!$B$2:$E$22,3)</f>
        <v>0.35</v>
      </c>
      <c r="AG30" s="39">
        <f>VLOOKUP($AE30,Manufacturer!$B$2:$E$22,4)</f>
        <v>2.39</v>
      </c>
      <c r="AH30" s="115">
        <v>750</v>
      </c>
      <c r="AI30" s="115">
        <v>400</v>
      </c>
      <c r="AJ30" s="115">
        <v>400</v>
      </c>
    </row>
    <row r="31" spans="1:36" s="115" customFormat="1" ht="14">
      <c r="A31" s="41"/>
      <c r="B31" s="160"/>
      <c r="C31" s="43"/>
      <c r="D31" s="41"/>
      <c r="E31" s="41" t="e">
        <f t="shared" si="5"/>
        <v>#VALUE!</v>
      </c>
      <c r="F31" s="115" t="str">
        <f t="shared" ref="F31:F36" si="6">_xlfn.CONCAT(D31," - ",C31,IF(ISBLANK(B31),"",_xlfn.CONCAT(" Rm ",B31)))</f>
        <v xml:space="preserve"> - </v>
      </c>
      <c r="G31" s="41"/>
      <c r="H31" s="41"/>
      <c r="J31" s="162"/>
      <c r="K31" s="41"/>
      <c r="L31" s="111"/>
      <c r="M31" s="41"/>
      <c r="N31" s="41"/>
      <c r="O31" s="116"/>
      <c r="P31" s="116"/>
      <c r="R31" s="115" t="e">
        <f t="shared" si="2"/>
        <v>#VALUE!</v>
      </c>
      <c r="Z31" s="41"/>
      <c r="AA31" s="41"/>
      <c r="AB31" s="41"/>
      <c r="AC31" s="39"/>
      <c r="AD31" s="39"/>
      <c r="AE31" s="39"/>
      <c r="AF31" s="39"/>
      <c r="AG31" s="39"/>
    </row>
    <row r="32" spans="1:36" s="115" customFormat="1" ht="14">
      <c r="A32" s="41"/>
      <c r="B32" s="160"/>
      <c r="C32" s="43"/>
      <c r="D32" s="41"/>
      <c r="E32" s="41" t="e">
        <f t="shared" si="5"/>
        <v>#VALUE!</v>
      </c>
      <c r="F32" s="115" t="str">
        <f t="shared" si="6"/>
        <v xml:space="preserve"> - </v>
      </c>
      <c r="G32" s="41"/>
      <c r="H32" s="41"/>
      <c r="J32" s="162"/>
      <c r="K32" s="41"/>
      <c r="L32" s="111"/>
      <c r="M32" s="41"/>
      <c r="N32" s="41"/>
      <c r="O32" s="116"/>
      <c r="P32" s="116"/>
      <c r="R32" s="115" t="e">
        <f t="shared" si="2"/>
        <v>#VALUE!</v>
      </c>
      <c r="Z32" s="41"/>
      <c r="AA32" s="41"/>
      <c r="AB32" s="41"/>
      <c r="AC32" s="39"/>
      <c r="AD32" s="39"/>
      <c r="AE32" s="39"/>
      <c r="AF32" s="39"/>
      <c r="AG32" s="39"/>
    </row>
    <row r="33" spans="1:33" s="115" customFormat="1" ht="14">
      <c r="A33" s="41"/>
      <c r="B33" s="160"/>
      <c r="C33" s="43"/>
      <c r="D33" s="41"/>
      <c r="E33" s="41" t="e">
        <f t="shared" si="5"/>
        <v>#VALUE!</v>
      </c>
      <c r="F33" s="115" t="str">
        <f t="shared" si="6"/>
        <v xml:space="preserve"> - </v>
      </c>
      <c r="G33" s="41"/>
      <c r="H33" s="41"/>
      <c r="J33" s="162"/>
      <c r="K33" s="41"/>
      <c r="L33" s="111"/>
      <c r="M33" s="41"/>
      <c r="N33" s="41"/>
      <c r="O33" s="116"/>
      <c r="P33" s="116"/>
      <c r="R33" s="115" t="e">
        <f t="shared" si="2"/>
        <v>#VALUE!</v>
      </c>
      <c r="Z33" s="41"/>
      <c r="AA33" s="41"/>
      <c r="AB33" s="41"/>
      <c r="AC33" s="39"/>
      <c r="AD33" s="39"/>
      <c r="AE33" s="39"/>
      <c r="AF33" s="39"/>
      <c r="AG33" s="39"/>
    </row>
    <row r="34" spans="1:33" s="115" customFormat="1" ht="14">
      <c r="A34" s="41"/>
      <c r="B34" s="160"/>
      <c r="C34" s="43"/>
      <c r="D34" s="41"/>
      <c r="E34" s="41" t="e">
        <f t="shared" si="5"/>
        <v>#VALUE!</v>
      </c>
      <c r="F34" s="115" t="str">
        <f t="shared" si="6"/>
        <v xml:space="preserve"> - </v>
      </c>
      <c r="G34" s="41"/>
      <c r="H34" s="41"/>
      <c r="J34" s="162"/>
      <c r="K34" s="41"/>
      <c r="L34" s="111"/>
      <c r="M34" s="41"/>
      <c r="N34" s="41"/>
      <c r="O34" s="116"/>
      <c r="P34" s="116"/>
      <c r="R34" s="115" t="e">
        <f t="shared" si="2"/>
        <v>#VALUE!</v>
      </c>
      <c r="Z34" s="41"/>
      <c r="AA34" s="41"/>
      <c r="AB34" s="41"/>
      <c r="AC34" s="39"/>
      <c r="AD34" s="39"/>
      <c r="AE34" s="39"/>
      <c r="AF34" s="39"/>
      <c r="AG34" s="39"/>
    </row>
    <row r="35" spans="1:33" s="115" customFormat="1" ht="14">
      <c r="A35" s="41"/>
      <c r="B35" s="160"/>
      <c r="C35" s="43"/>
      <c r="D35" s="41"/>
      <c r="E35" s="41" t="e">
        <f t="shared" si="5"/>
        <v>#VALUE!</v>
      </c>
      <c r="F35" s="115" t="str">
        <f t="shared" si="6"/>
        <v xml:space="preserve"> - </v>
      </c>
      <c r="G35" s="41"/>
      <c r="H35" s="41"/>
      <c r="J35" s="162"/>
      <c r="K35" s="41"/>
      <c r="L35" s="111"/>
      <c r="M35" s="41"/>
      <c r="N35" s="41"/>
      <c r="O35" s="116"/>
      <c r="P35" s="116"/>
      <c r="R35" s="115" t="e">
        <f t="shared" si="2"/>
        <v>#VALUE!</v>
      </c>
      <c r="Z35" s="41"/>
      <c r="AA35" s="41"/>
      <c r="AB35" s="41"/>
      <c r="AC35" s="39"/>
      <c r="AD35" s="39"/>
      <c r="AE35" s="39"/>
      <c r="AF35" s="39"/>
      <c r="AG35" s="39"/>
    </row>
    <row r="36" spans="1:33" s="115" customFormat="1" ht="14">
      <c r="A36" s="41"/>
      <c r="B36" s="163"/>
      <c r="C36" s="43"/>
      <c r="D36" s="41"/>
      <c r="E36" s="41" t="e">
        <f t="shared" si="5"/>
        <v>#VALUE!</v>
      </c>
      <c r="F36" s="115" t="str">
        <f t="shared" si="6"/>
        <v xml:space="preserve"> - </v>
      </c>
      <c r="G36" s="41"/>
      <c r="H36" s="41"/>
      <c r="J36" s="162"/>
      <c r="K36" s="41"/>
      <c r="L36" s="111"/>
      <c r="M36" s="41"/>
      <c r="N36" s="41"/>
      <c r="O36" s="116"/>
      <c r="P36" s="116"/>
      <c r="R36" s="115" t="e">
        <f t="shared" si="2"/>
        <v>#VALUE!</v>
      </c>
      <c r="Z36" s="41"/>
      <c r="AA36" s="41"/>
      <c r="AB36" s="41"/>
      <c r="AC36" s="39"/>
      <c r="AD36" s="39"/>
      <c r="AE36" s="39"/>
      <c r="AF36" s="39"/>
      <c r="AG36" s="39"/>
    </row>
    <row r="37" spans="1:33" s="115" customFormat="1" ht="14">
      <c r="A37" s="41"/>
      <c r="B37" s="116"/>
      <c r="C37" s="43"/>
      <c r="D37" s="41"/>
      <c r="E37" s="41"/>
      <c r="G37" s="41"/>
      <c r="H37" s="41"/>
      <c r="K37" s="41"/>
      <c r="L37" s="111"/>
      <c r="M37" s="41"/>
      <c r="N37" s="41"/>
      <c r="O37" s="116"/>
      <c r="Z37" s="41"/>
      <c r="AA37" s="41"/>
      <c r="AB37" s="41"/>
      <c r="AC37" s="39"/>
      <c r="AD37" s="39"/>
      <c r="AE37" s="39"/>
      <c r="AF37" s="39"/>
      <c r="AG37" s="39"/>
    </row>
    <row r="38" spans="1:33" s="115" customFormat="1" ht="14">
      <c r="A38" s="130" t="s">
        <v>438</v>
      </c>
      <c r="B38" s="116"/>
      <c r="C38" s="43"/>
      <c r="D38" s="41"/>
      <c r="E38" s="41"/>
      <c r="G38" s="41"/>
      <c r="H38" s="41"/>
      <c r="K38" s="41"/>
      <c r="L38" s="111"/>
      <c r="M38" s="41"/>
      <c r="N38" s="41"/>
      <c r="O38" s="116"/>
      <c r="Z38" s="41"/>
      <c r="AA38" s="41"/>
      <c r="AB38" s="41"/>
      <c r="AC38" s="39"/>
      <c r="AD38" s="39"/>
      <c r="AE38" s="39"/>
      <c r="AF38" s="39"/>
      <c r="AG38" s="39"/>
    </row>
    <row r="39" spans="1:33" s="115" customFormat="1" ht="14">
      <c r="A39" s="41"/>
      <c r="B39" s="116"/>
      <c r="C39" s="43"/>
      <c r="D39" s="41" t="str">
        <f t="shared" ref="D39:D44" si="7">_xlfn.CONCAT("",G39)</f>
        <v/>
      </c>
      <c r="E39" s="41" t="e">
        <f t="shared" ref="E39:E44" si="8">_xlfn.CONCAT(RIGHT(L39,2),RIGHT(M39,1),MID(K39,4,2),"0",RIGHT(R39,2))</f>
        <v>#VALUE!</v>
      </c>
      <c r="F39" s="115" t="str">
        <f t="shared" ref="F39:F44" si="9">_xlfn.CONCAT(D39," - ",C39,IF(ISBLANK(B39),"",_xlfn.CONCAT(" Rm ",B39)))</f>
        <v xml:space="preserve"> - </v>
      </c>
      <c r="G39" s="41"/>
      <c r="H39" s="41"/>
      <c r="J39" s="162"/>
      <c r="K39" s="41"/>
      <c r="L39" s="111"/>
      <c r="M39" s="41"/>
      <c r="N39" s="41"/>
      <c r="O39" s="116"/>
      <c r="P39" s="116"/>
      <c r="R39" s="115" t="e">
        <f t="shared" ref="R39:R44" si="10">IF(AND(O39&lt;&gt;"", P39&lt;&gt;""), "MAC &amp; IP cannot both have values", _xlfn.CONCAT("1000"+RIGHT(L39,2),RIGHT(M39,1),"00")+O39+P39)</f>
        <v>#VALUE!</v>
      </c>
      <c r="Z39" s="41" t="s">
        <v>432</v>
      </c>
      <c r="AA39" s="41"/>
      <c r="AB39" s="41"/>
      <c r="AC39" s="39"/>
      <c r="AD39" s="39"/>
      <c r="AE39" s="39"/>
      <c r="AF39" s="39"/>
      <c r="AG39" s="39"/>
    </row>
    <row r="40" spans="1:33" s="115" customFormat="1" ht="14">
      <c r="A40" s="41"/>
      <c r="B40" s="116"/>
      <c r="C40" s="43"/>
      <c r="D40" s="41" t="str">
        <f t="shared" si="7"/>
        <v/>
      </c>
      <c r="E40" s="41" t="e">
        <f t="shared" si="8"/>
        <v>#VALUE!</v>
      </c>
      <c r="F40" s="115" t="str">
        <f t="shared" si="9"/>
        <v xml:space="preserve"> - </v>
      </c>
      <c r="G40" s="41"/>
      <c r="H40" s="41"/>
      <c r="J40" s="162"/>
      <c r="K40" s="41"/>
      <c r="L40" s="111"/>
      <c r="M40" s="41"/>
      <c r="N40" s="41"/>
      <c r="O40" s="116"/>
      <c r="P40" s="116"/>
      <c r="R40" s="115" t="e">
        <f t="shared" si="10"/>
        <v>#VALUE!</v>
      </c>
      <c r="Z40" s="41" t="s">
        <v>432</v>
      </c>
      <c r="AA40" s="41"/>
      <c r="AB40" s="41"/>
      <c r="AC40" s="39"/>
      <c r="AD40" s="39"/>
      <c r="AE40" s="39"/>
      <c r="AF40" s="39"/>
      <c r="AG40" s="39"/>
    </row>
    <row r="41" spans="1:33" s="115" customFormat="1" ht="14">
      <c r="A41" s="41"/>
      <c r="B41" s="116"/>
      <c r="C41" s="43"/>
      <c r="D41" s="41" t="str">
        <f t="shared" si="7"/>
        <v/>
      </c>
      <c r="E41" s="41" t="e">
        <f t="shared" si="8"/>
        <v>#VALUE!</v>
      </c>
      <c r="F41" s="115" t="str">
        <f t="shared" si="9"/>
        <v xml:space="preserve"> - </v>
      </c>
      <c r="G41" s="41"/>
      <c r="H41" s="41"/>
      <c r="J41" s="162"/>
      <c r="K41" s="41"/>
      <c r="L41" s="111"/>
      <c r="M41" s="41"/>
      <c r="N41" s="41"/>
      <c r="O41" s="116"/>
      <c r="P41" s="116"/>
      <c r="R41" s="115" t="e">
        <f t="shared" si="10"/>
        <v>#VALUE!</v>
      </c>
      <c r="Z41" s="41" t="s">
        <v>432</v>
      </c>
      <c r="AA41" s="41"/>
      <c r="AB41" s="41"/>
      <c r="AC41" s="39"/>
      <c r="AD41" s="39"/>
      <c r="AE41" s="39"/>
      <c r="AF41" s="39"/>
      <c r="AG41" s="39"/>
    </row>
    <row r="42" spans="1:33" s="115" customFormat="1" ht="14">
      <c r="A42" s="41"/>
      <c r="B42" s="116"/>
      <c r="C42" s="41"/>
      <c r="D42" s="41" t="str">
        <f t="shared" si="7"/>
        <v/>
      </c>
      <c r="E42" s="41" t="e">
        <f t="shared" si="8"/>
        <v>#VALUE!</v>
      </c>
      <c r="F42" s="115" t="str">
        <f t="shared" si="9"/>
        <v xml:space="preserve"> - </v>
      </c>
      <c r="G42" s="41"/>
      <c r="H42" s="41"/>
      <c r="I42" s="43"/>
      <c r="J42" s="162"/>
      <c r="K42" s="41"/>
      <c r="L42" s="111"/>
      <c r="M42" s="41"/>
      <c r="N42" s="41"/>
      <c r="O42" s="116"/>
      <c r="P42" s="116"/>
      <c r="R42" s="115" t="e">
        <f t="shared" si="10"/>
        <v>#VALUE!</v>
      </c>
      <c r="Z42" s="41" t="s">
        <v>432</v>
      </c>
      <c r="AA42" s="41"/>
      <c r="AB42" s="41"/>
      <c r="AC42" s="39"/>
      <c r="AD42" s="39"/>
      <c r="AE42" s="39"/>
      <c r="AF42" s="39"/>
      <c r="AG42" s="39"/>
    </row>
    <row r="43" spans="1:33" s="115" customFormat="1" ht="14">
      <c r="A43" s="41"/>
      <c r="B43" s="116"/>
      <c r="C43" s="41"/>
      <c r="D43" s="41" t="str">
        <f t="shared" si="7"/>
        <v/>
      </c>
      <c r="E43" s="41" t="e">
        <f t="shared" si="8"/>
        <v>#VALUE!</v>
      </c>
      <c r="F43" s="115" t="str">
        <f t="shared" si="9"/>
        <v xml:space="preserve"> - </v>
      </c>
      <c r="G43" s="41"/>
      <c r="H43" s="41"/>
      <c r="I43" s="43"/>
      <c r="J43" s="162"/>
      <c r="K43" s="41"/>
      <c r="L43" s="111"/>
      <c r="M43" s="41"/>
      <c r="N43" s="41"/>
      <c r="O43" s="116"/>
      <c r="P43" s="116"/>
      <c r="R43" s="115" t="e">
        <f t="shared" si="10"/>
        <v>#VALUE!</v>
      </c>
      <c r="Z43" s="41" t="s">
        <v>432</v>
      </c>
      <c r="AA43" s="41"/>
      <c r="AB43" s="41"/>
      <c r="AC43" s="39"/>
      <c r="AD43" s="39"/>
      <c r="AE43" s="39"/>
      <c r="AF43" s="39"/>
      <c r="AG43" s="39"/>
    </row>
    <row r="44" spans="1:33" s="115" customFormat="1" ht="14">
      <c r="A44" s="41"/>
      <c r="B44" s="116"/>
      <c r="C44" s="41"/>
      <c r="D44" s="41" t="str">
        <f t="shared" si="7"/>
        <v/>
      </c>
      <c r="E44" s="41" t="e">
        <f t="shared" si="8"/>
        <v>#VALUE!</v>
      </c>
      <c r="F44" s="115" t="str">
        <f t="shared" si="9"/>
        <v xml:space="preserve"> - </v>
      </c>
      <c r="G44" s="41"/>
      <c r="H44" s="41"/>
      <c r="I44" s="43"/>
      <c r="J44" s="162"/>
      <c r="K44" s="41"/>
      <c r="L44" s="111"/>
      <c r="M44" s="41"/>
      <c r="N44" s="41"/>
      <c r="O44" s="116"/>
      <c r="P44" s="116"/>
      <c r="R44" s="115" t="e">
        <f t="shared" si="10"/>
        <v>#VALUE!</v>
      </c>
      <c r="Z44" s="41" t="s">
        <v>432</v>
      </c>
      <c r="AA44" s="41"/>
      <c r="AB44" s="41"/>
      <c r="AC44" s="39"/>
      <c r="AD44" s="39"/>
      <c r="AE44" s="39"/>
      <c r="AF44" s="39"/>
      <c r="AG44" s="39"/>
    </row>
    <row r="45" spans="1:33" s="115" customFormat="1" ht="14">
      <c r="A45" s="41"/>
      <c r="B45" s="116"/>
      <c r="C45" s="43"/>
      <c r="D45" s="41"/>
      <c r="E45" s="41"/>
      <c r="G45" s="41"/>
      <c r="H45" s="41"/>
      <c r="K45" s="41"/>
      <c r="L45" s="111"/>
      <c r="M45" s="41"/>
      <c r="N45" s="41"/>
      <c r="O45" s="116"/>
      <c r="P45" s="116"/>
      <c r="Z45" s="41"/>
      <c r="AA45" s="41"/>
      <c r="AB45" s="41"/>
      <c r="AC45" s="39"/>
      <c r="AD45" s="39"/>
      <c r="AE45" s="39"/>
      <c r="AF45" s="39"/>
      <c r="AG45" s="39"/>
    </row>
    <row r="46" spans="1:33" s="115" customFormat="1" ht="14">
      <c r="A46" s="41"/>
      <c r="B46" s="116"/>
      <c r="C46" s="41"/>
      <c r="D46" s="41"/>
      <c r="E46" s="41"/>
      <c r="G46" s="41"/>
      <c r="H46" s="41"/>
      <c r="K46" s="41"/>
      <c r="L46" s="111"/>
      <c r="M46" s="41"/>
      <c r="N46" s="41"/>
      <c r="O46" s="116"/>
      <c r="Z46" s="41"/>
      <c r="AA46" s="41"/>
      <c r="AB46" s="41"/>
      <c r="AC46" s="39"/>
      <c r="AD46" s="39"/>
      <c r="AE46" s="39"/>
      <c r="AF46" s="39"/>
      <c r="AG46" s="131"/>
    </row>
    <row r="47" spans="1:33" s="115" customFormat="1" ht="14">
      <c r="A47" s="41"/>
      <c r="B47" s="116"/>
      <c r="C47" s="41"/>
      <c r="D47" s="41"/>
      <c r="E47" s="41"/>
      <c r="G47" s="41"/>
      <c r="H47" s="41"/>
      <c r="K47" s="41"/>
      <c r="L47" s="111"/>
      <c r="M47" s="41"/>
      <c r="N47" s="41"/>
      <c r="O47" s="116"/>
      <c r="Z47" s="41"/>
      <c r="AA47" s="41"/>
      <c r="AB47" s="41"/>
      <c r="AC47" s="39"/>
      <c r="AD47" s="39"/>
      <c r="AE47" s="39"/>
      <c r="AF47" s="39"/>
      <c r="AG47" s="131"/>
    </row>
    <row r="48" spans="1:33" s="115" customFormat="1" ht="14">
      <c r="A48" s="41"/>
      <c r="B48" s="116"/>
      <c r="C48" s="41"/>
      <c r="D48" s="41"/>
      <c r="E48" s="41"/>
      <c r="G48" s="41"/>
      <c r="H48" s="41"/>
      <c r="K48" s="41"/>
      <c r="L48" s="111"/>
      <c r="M48" s="41"/>
      <c r="N48" s="41"/>
      <c r="O48" s="116"/>
      <c r="Z48" s="41"/>
      <c r="AA48" s="41"/>
      <c r="AB48" s="41"/>
      <c r="AC48" s="39"/>
      <c r="AD48" s="39"/>
      <c r="AE48" s="39"/>
      <c r="AF48" s="39"/>
      <c r="AG48" s="131"/>
    </row>
    <row r="49" spans="1:33" s="115" customFormat="1" ht="14">
      <c r="A49" s="41"/>
      <c r="B49" s="116"/>
      <c r="C49" s="41"/>
      <c r="D49" s="41"/>
      <c r="E49" s="41"/>
      <c r="G49" s="41"/>
      <c r="H49" s="41"/>
      <c r="K49" s="41"/>
      <c r="L49" s="111"/>
      <c r="M49" s="41"/>
      <c r="N49" s="41"/>
      <c r="O49" s="116"/>
      <c r="Z49" s="41"/>
      <c r="AA49" s="41"/>
      <c r="AB49" s="41"/>
      <c r="AC49" s="39"/>
      <c r="AD49" s="39"/>
      <c r="AE49" s="39"/>
      <c r="AF49" s="39"/>
      <c r="AG49" s="131"/>
    </row>
    <row r="50" spans="1:33" s="115" customFormat="1" ht="14">
      <c r="A50" s="41"/>
      <c r="B50" s="116"/>
      <c r="C50" s="41"/>
      <c r="D50" s="41"/>
      <c r="E50" s="41"/>
      <c r="G50" s="41"/>
      <c r="H50" s="41"/>
      <c r="K50" s="41"/>
      <c r="L50" s="111"/>
      <c r="M50" s="41"/>
      <c r="N50" s="41"/>
      <c r="O50" s="116"/>
      <c r="Z50" s="41"/>
      <c r="AA50" s="41"/>
      <c r="AB50" s="41"/>
      <c r="AC50" s="39"/>
      <c r="AD50" s="39"/>
      <c r="AE50" s="39"/>
      <c r="AF50" s="39"/>
      <c r="AG50" s="131"/>
    </row>
    <row r="51" spans="1:33" s="115" customFormat="1" ht="14">
      <c r="A51" s="41"/>
      <c r="B51" s="116"/>
      <c r="C51" s="41"/>
      <c r="D51" s="41"/>
      <c r="E51" s="41"/>
      <c r="G51" s="41"/>
      <c r="H51" s="41"/>
      <c r="K51" s="41"/>
      <c r="L51" s="111"/>
      <c r="M51" s="41"/>
      <c r="N51" s="41"/>
      <c r="O51" s="116"/>
      <c r="Z51" s="41"/>
      <c r="AA51" s="41"/>
      <c r="AB51" s="41"/>
      <c r="AC51" s="39"/>
      <c r="AD51" s="39"/>
      <c r="AE51" s="39"/>
      <c r="AF51" s="39"/>
      <c r="AG51" s="131"/>
    </row>
    <row r="52" spans="1:33" s="112" customFormat="1">
      <c r="G52" s="41"/>
      <c r="L52" s="113"/>
    </row>
    <row r="53" spans="1:33" s="112" customFormat="1">
      <c r="G53" s="41"/>
      <c r="L53" s="113"/>
    </row>
    <row r="54" spans="1:33" s="112" customFormat="1">
      <c r="L54" s="113"/>
    </row>
    <row r="55" spans="1:33" s="112" customFormat="1">
      <c r="L55" s="113"/>
    </row>
    <row r="56" spans="1:33" s="112" customFormat="1">
      <c r="L56" s="113"/>
    </row>
    <row r="57" spans="1:33" s="112" customFormat="1">
      <c r="L57" s="113"/>
    </row>
    <row r="58" spans="1:33" s="112" customFormat="1">
      <c r="L58" s="113"/>
    </row>
    <row r="59" spans="1:33" s="112" customFormat="1">
      <c r="L59" s="113"/>
    </row>
    <row r="60" spans="1:33" s="112" customFormat="1">
      <c r="L60" s="113"/>
    </row>
    <row r="61" spans="1:33" s="112" customFormat="1">
      <c r="L61" s="113"/>
    </row>
    <row r="62" spans="1:33" s="112" customFormat="1">
      <c r="L62" s="113"/>
    </row>
    <row r="63" spans="1:33" s="112" customFormat="1">
      <c r="L63" s="113"/>
    </row>
    <row r="64" spans="1:33" s="112" customFormat="1">
      <c r="L64" s="113"/>
    </row>
    <row r="65" spans="12:12" s="112" customFormat="1">
      <c r="L65" s="113"/>
    </row>
    <row r="66" spans="12:12" s="112" customFormat="1">
      <c r="L66" s="113"/>
    </row>
    <row r="67" spans="12:12" s="112" customFormat="1">
      <c r="L67" s="113"/>
    </row>
    <row r="68" spans="12:12" s="112" customFormat="1">
      <c r="L68" s="113"/>
    </row>
    <row r="69" spans="12:12" s="112" customFormat="1">
      <c r="L69" s="113"/>
    </row>
    <row r="70" spans="12:12" s="112" customFormat="1">
      <c r="L70" s="113"/>
    </row>
    <row r="71" spans="12:12" s="112" customFormat="1">
      <c r="L71" s="113"/>
    </row>
    <row r="72" spans="12:12" s="112" customFormat="1">
      <c r="L72" s="113"/>
    </row>
    <row r="73" spans="12:12" s="112" customFormat="1">
      <c r="L73" s="113"/>
    </row>
    <row r="74" spans="12:12" s="112" customFormat="1">
      <c r="L74" s="113"/>
    </row>
    <row r="75" spans="12:12" s="112" customFormat="1">
      <c r="L75" s="113"/>
    </row>
    <row r="76" spans="12:12" s="112" customFormat="1">
      <c r="L76" s="113"/>
    </row>
    <row r="77" spans="12:12" s="112" customFormat="1">
      <c r="L77" s="113"/>
    </row>
    <row r="78" spans="12:12" s="112" customFormat="1">
      <c r="L78" s="113"/>
    </row>
    <row r="79" spans="12:12" s="112" customFormat="1">
      <c r="L79" s="113"/>
    </row>
    <row r="80" spans="12:12" s="112" customFormat="1">
      <c r="L80" s="113"/>
    </row>
    <row r="81" spans="12:12" s="112" customFormat="1">
      <c r="L81" s="113"/>
    </row>
    <row r="82" spans="12:12" s="112" customFormat="1">
      <c r="L82" s="113"/>
    </row>
    <row r="83" spans="12:12" s="112" customFormat="1">
      <c r="L83" s="113"/>
    </row>
    <row r="84" spans="12:12" s="112" customFormat="1">
      <c r="L84" s="113"/>
    </row>
    <row r="85" spans="12:12" s="112" customFormat="1">
      <c r="L85" s="113"/>
    </row>
    <row r="86" spans="12:12" s="112" customFormat="1">
      <c r="L86" s="113"/>
    </row>
    <row r="87" spans="12:12" s="112" customFormat="1">
      <c r="L87" s="113"/>
    </row>
    <row r="88" spans="12:12" s="112" customFormat="1">
      <c r="L88" s="113"/>
    </row>
    <row r="89" spans="12:12" s="112" customFormat="1">
      <c r="L89" s="113"/>
    </row>
    <row r="90" spans="12:12" s="112" customFormat="1">
      <c r="L90" s="113"/>
    </row>
    <row r="91" spans="12:12" s="112" customFormat="1">
      <c r="L91" s="113"/>
    </row>
    <row r="92" spans="12:12" s="112" customFormat="1">
      <c r="L92" s="113"/>
    </row>
    <row r="93" spans="12:12" s="112" customFormat="1">
      <c r="L93" s="113"/>
    </row>
    <row r="94" spans="12:12" s="112" customFormat="1">
      <c r="L94" s="113"/>
    </row>
    <row r="95" spans="12:12" s="112" customFormat="1">
      <c r="L95" s="113"/>
    </row>
    <row r="96" spans="12:12" s="112" customFormat="1">
      <c r="L96" s="113"/>
    </row>
    <row r="97" spans="12:12" s="112" customFormat="1">
      <c r="L97" s="113"/>
    </row>
    <row r="98" spans="12:12" s="112" customFormat="1">
      <c r="L98" s="113"/>
    </row>
    <row r="99" spans="12:12" s="112" customFormat="1">
      <c r="L99" s="113"/>
    </row>
    <row r="100" spans="12:12" s="112" customFormat="1">
      <c r="L100" s="113"/>
    </row>
    <row r="101" spans="12:12" s="112" customFormat="1">
      <c r="L101" s="113"/>
    </row>
    <row r="102" spans="12:12" s="112" customFormat="1">
      <c r="L102" s="113"/>
    </row>
    <row r="103" spans="12:12" s="112" customFormat="1">
      <c r="L103" s="113"/>
    </row>
    <row r="104" spans="12:12" s="112" customFormat="1">
      <c r="L104" s="113"/>
    </row>
    <row r="105" spans="12:12" s="112" customFormat="1">
      <c r="L105" s="113"/>
    </row>
    <row r="106" spans="12:12" s="112" customFormat="1">
      <c r="L106" s="113"/>
    </row>
    <row r="107" spans="12:12" s="112" customFormat="1">
      <c r="L107" s="113"/>
    </row>
    <row r="108" spans="12:12" s="112" customFormat="1">
      <c r="L108" s="113"/>
    </row>
    <row r="109" spans="12:12" s="112" customFormat="1">
      <c r="L109" s="113"/>
    </row>
    <row r="110" spans="12:12" s="112" customFormat="1">
      <c r="L110" s="113"/>
    </row>
    <row r="111" spans="12:12" s="112" customFormat="1">
      <c r="L111" s="113"/>
    </row>
    <row r="112" spans="12:12" s="112" customFormat="1">
      <c r="L112" s="113"/>
    </row>
    <row r="113" spans="12:12" s="112" customFormat="1">
      <c r="L113" s="113"/>
    </row>
    <row r="114" spans="12:12" s="112" customFormat="1">
      <c r="L114" s="113"/>
    </row>
    <row r="115" spans="12:12" s="112" customFormat="1">
      <c r="L115" s="113"/>
    </row>
    <row r="116" spans="12:12" s="112" customFormat="1">
      <c r="L116" s="113"/>
    </row>
    <row r="117" spans="12:12" s="112" customFormat="1">
      <c r="L117" s="113"/>
    </row>
    <row r="118" spans="12:12" s="112" customFormat="1">
      <c r="L118" s="113"/>
    </row>
    <row r="119" spans="12:12" s="112" customFormat="1">
      <c r="L119" s="113"/>
    </row>
    <row r="120" spans="12:12" s="112" customFormat="1">
      <c r="L120" s="113"/>
    </row>
    <row r="121" spans="12:12" s="112" customFormat="1">
      <c r="L121" s="113"/>
    </row>
    <row r="122" spans="12:12" s="112" customFormat="1">
      <c r="L122" s="113"/>
    </row>
    <row r="123" spans="12:12" s="112" customFormat="1">
      <c r="L123" s="113"/>
    </row>
    <row r="124" spans="12:12" s="112" customFormat="1">
      <c r="L124" s="113"/>
    </row>
    <row r="125" spans="12:12" s="112" customFormat="1">
      <c r="L125" s="113"/>
    </row>
    <row r="126" spans="12:12" s="112" customFormat="1">
      <c r="L126" s="113"/>
    </row>
    <row r="127" spans="12:12" s="112" customFormat="1">
      <c r="L127" s="113"/>
    </row>
    <row r="128" spans="12:12" s="112" customFormat="1">
      <c r="L128" s="113"/>
    </row>
    <row r="129" spans="12:12" s="112" customFormat="1">
      <c r="L129" s="113"/>
    </row>
    <row r="130" spans="12:12" s="112" customFormat="1">
      <c r="L130" s="113"/>
    </row>
    <row r="131" spans="12:12" s="112" customFormat="1">
      <c r="L131" s="113"/>
    </row>
    <row r="132" spans="12:12" s="112" customFormat="1">
      <c r="L132" s="113"/>
    </row>
    <row r="133" spans="12:12" s="112" customFormat="1">
      <c r="L133" s="113"/>
    </row>
    <row r="134" spans="12:12" s="112" customFormat="1">
      <c r="L134" s="113"/>
    </row>
    <row r="135" spans="12:12" s="112" customFormat="1">
      <c r="L135" s="113"/>
    </row>
    <row r="136" spans="12:12" s="112" customFormat="1">
      <c r="L136" s="113"/>
    </row>
    <row r="137" spans="12:12" s="112" customFormat="1">
      <c r="L137" s="113"/>
    </row>
    <row r="138" spans="12:12" s="112" customFormat="1">
      <c r="L138" s="113"/>
    </row>
    <row r="139" spans="12:12" s="112" customFormat="1">
      <c r="L139" s="113"/>
    </row>
    <row r="140" spans="12:12" s="112" customFormat="1">
      <c r="L140" s="113"/>
    </row>
    <row r="141" spans="12:12" s="112" customFormat="1">
      <c r="L141" s="113"/>
    </row>
    <row r="142" spans="12:12" s="112" customFormat="1">
      <c r="L142" s="113"/>
    </row>
    <row r="143" spans="12:12" s="112" customFormat="1">
      <c r="L143" s="113"/>
    </row>
    <row r="144" spans="12:12" s="112" customFormat="1">
      <c r="L144" s="113"/>
    </row>
    <row r="145" spans="12:12" s="112" customFormat="1">
      <c r="L145" s="113"/>
    </row>
    <row r="146" spans="12:12" s="112" customFormat="1">
      <c r="L146" s="113"/>
    </row>
    <row r="147" spans="12:12" s="112" customFormat="1">
      <c r="L147" s="113"/>
    </row>
    <row r="148" spans="12:12" s="112" customFormat="1">
      <c r="L148" s="113"/>
    </row>
    <row r="149" spans="12:12" s="112" customFormat="1">
      <c r="L149" s="113"/>
    </row>
    <row r="150" spans="12:12" s="112" customFormat="1">
      <c r="L150" s="113"/>
    </row>
    <row r="151" spans="12:12" s="112" customFormat="1">
      <c r="L151" s="113"/>
    </row>
    <row r="152" spans="12:12" s="112" customFormat="1">
      <c r="L152" s="113"/>
    </row>
    <row r="153" spans="12:12" s="112" customFormat="1">
      <c r="L153" s="113"/>
    </row>
    <row r="154" spans="12:12" s="112" customFormat="1">
      <c r="L154" s="113"/>
    </row>
    <row r="155" spans="12:12" s="112" customFormat="1">
      <c r="L155" s="113"/>
    </row>
    <row r="156" spans="12:12" s="112" customFormat="1">
      <c r="L156" s="113"/>
    </row>
    <row r="157" spans="12:12" s="112" customFormat="1">
      <c r="L157" s="113"/>
    </row>
    <row r="158" spans="12:12" s="112" customFormat="1">
      <c r="L158" s="113"/>
    </row>
    <row r="159" spans="12:12" s="112" customFormat="1">
      <c r="L159" s="113"/>
    </row>
    <row r="160" spans="12:12" s="112" customFormat="1">
      <c r="L160" s="113"/>
    </row>
    <row r="161" spans="12:12" s="112" customFormat="1">
      <c r="L161" s="113"/>
    </row>
    <row r="162" spans="12:12" s="112" customFormat="1">
      <c r="L162" s="113"/>
    </row>
    <row r="163" spans="12:12" s="112" customFormat="1">
      <c r="L163" s="113"/>
    </row>
    <row r="164" spans="12:12" s="112" customFormat="1">
      <c r="L164" s="113"/>
    </row>
    <row r="165" spans="12:12" s="112" customFormat="1">
      <c r="L165" s="113"/>
    </row>
    <row r="166" spans="12:12" s="112" customFormat="1">
      <c r="L166" s="113"/>
    </row>
    <row r="167" spans="12:12" s="112" customFormat="1">
      <c r="L167" s="113"/>
    </row>
    <row r="168" spans="12:12" s="112" customFormat="1">
      <c r="L168" s="113"/>
    </row>
    <row r="169" spans="12:12" s="112" customFormat="1">
      <c r="L169" s="113"/>
    </row>
    <row r="170" spans="12:12" s="112" customFormat="1">
      <c r="L170" s="113"/>
    </row>
    <row r="171" spans="12:12" s="112" customFormat="1">
      <c r="L171" s="113"/>
    </row>
    <row r="172" spans="12:12" s="112" customFormat="1">
      <c r="L172" s="113"/>
    </row>
    <row r="173" spans="12:12" s="112" customFormat="1">
      <c r="L173" s="113"/>
    </row>
    <row r="174" spans="12:12" s="112" customFormat="1">
      <c r="L174" s="113"/>
    </row>
    <row r="175" spans="12:12" s="112" customFormat="1">
      <c r="L175" s="113"/>
    </row>
    <row r="176" spans="12:12" s="112" customFormat="1">
      <c r="L176" s="113"/>
    </row>
    <row r="177" spans="12:12" s="112" customFormat="1">
      <c r="L177" s="113"/>
    </row>
    <row r="178" spans="12:12" s="112" customFormat="1">
      <c r="L178" s="113"/>
    </row>
    <row r="179" spans="12:12" s="112" customFormat="1">
      <c r="L179" s="113"/>
    </row>
    <row r="180" spans="12:12" s="112" customFormat="1">
      <c r="L180" s="113"/>
    </row>
    <row r="181" spans="12:12" s="112" customFormat="1">
      <c r="L181" s="113"/>
    </row>
    <row r="182" spans="12:12" s="112" customFormat="1">
      <c r="L182" s="113"/>
    </row>
    <row r="183" spans="12:12" s="112" customFormat="1">
      <c r="L183" s="113"/>
    </row>
    <row r="184" spans="12:12" s="112" customFormat="1">
      <c r="L184" s="113"/>
    </row>
    <row r="185" spans="12:12" s="112" customFormat="1">
      <c r="L185" s="113"/>
    </row>
    <row r="186" spans="12:12" s="112" customFormat="1">
      <c r="L186" s="113"/>
    </row>
    <row r="187" spans="12:12" s="112" customFormat="1">
      <c r="L187" s="113"/>
    </row>
    <row r="188" spans="12:12" s="112" customFormat="1">
      <c r="L188" s="113"/>
    </row>
    <row r="189" spans="12:12" s="112" customFormat="1">
      <c r="L189" s="113"/>
    </row>
    <row r="190" spans="12:12" s="112" customFormat="1">
      <c r="L190" s="113"/>
    </row>
    <row r="191" spans="12:12" s="112" customFormat="1">
      <c r="L191" s="113"/>
    </row>
    <row r="192" spans="12:12" s="112" customFormat="1">
      <c r="L192" s="113"/>
    </row>
    <row r="193" spans="12:12" s="112" customFormat="1">
      <c r="L193" s="113"/>
    </row>
    <row r="194" spans="12:12" s="112" customFormat="1">
      <c r="L194" s="113"/>
    </row>
    <row r="195" spans="12:12" s="112" customFormat="1">
      <c r="L195" s="113"/>
    </row>
    <row r="196" spans="12:12" s="112" customFormat="1">
      <c r="L196" s="113"/>
    </row>
    <row r="197" spans="12:12" s="112" customFormat="1">
      <c r="L197" s="113"/>
    </row>
    <row r="198" spans="12:12" s="112" customFormat="1">
      <c r="L198" s="113"/>
    </row>
    <row r="199" spans="12:12" s="112" customFormat="1">
      <c r="L199" s="113"/>
    </row>
    <row r="200" spans="12:12" s="112" customFormat="1">
      <c r="L200" s="113"/>
    </row>
    <row r="201" spans="12:12" s="112" customFormat="1">
      <c r="L201" s="113"/>
    </row>
    <row r="202" spans="12:12" s="112" customFormat="1">
      <c r="L202" s="113"/>
    </row>
    <row r="203" spans="12:12" s="112" customFormat="1">
      <c r="L203" s="113"/>
    </row>
    <row r="204" spans="12:12" s="112" customFormat="1">
      <c r="L204" s="113"/>
    </row>
    <row r="205" spans="12:12" s="112" customFormat="1">
      <c r="L205" s="113"/>
    </row>
    <row r="206" spans="12:12" s="112" customFormat="1">
      <c r="L206" s="113"/>
    </row>
    <row r="207" spans="12:12" s="112" customFormat="1">
      <c r="L207" s="113"/>
    </row>
    <row r="208" spans="12:12" s="112" customFormat="1">
      <c r="L208" s="113"/>
    </row>
    <row r="209" spans="12:12" s="112" customFormat="1">
      <c r="L209" s="113"/>
    </row>
    <row r="210" spans="12:12" s="112" customFormat="1">
      <c r="L210" s="113"/>
    </row>
    <row r="211" spans="12:12" s="112" customFormat="1">
      <c r="L211" s="113"/>
    </row>
    <row r="212" spans="12:12" s="112" customFormat="1">
      <c r="L212" s="113"/>
    </row>
    <row r="213" spans="12:12" s="112" customFormat="1">
      <c r="L213" s="113"/>
    </row>
    <row r="214" spans="12:12" s="112" customFormat="1">
      <c r="L214" s="113"/>
    </row>
    <row r="215" spans="12:12" s="112" customFormat="1">
      <c r="L215" s="113"/>
    </row>
    <row r="216" spans="12:12" s="112" customFormat="1">
      <c r="L216" s="113"/>
    </row>
    <row r="217" spans="12:12" s="112" customFormat="1">
      <c r="L217" s="113"/>
    </row>
    <row r="218" spans="12:12" s="112" customFormat="1">
      <c r="L218" s="113"/>
    </row>
    <row r="219" spans="12:12" s="112" customFormat="1">
      <c r="L219" s="113"/>
    </row>
    <row r="220" spans="12:12" s="112" customFormat="1">
      <c r="L220" s="113"/>
    </row>
    <row r="221" spans="12:12" s="112" customFormat="1">
      <c r="L221" s="113"/>
    </row>
    <row r="222" spans="12:12" s="112" customFormat="1">
      <c r="L222" s="113"/>
    </row>
    <row r="223" spans="12:12" s="112" customFormat="1">
      <c r="L223" s="113"/>
    </row>
    <row r="224" spans="12:12" s="112" customFormat="1">
      <c r="L224" s="113"/>
    </row>
    <row r="225" spans="12:12" s="112" customFormat="1">
      <c r="L225" s="113"/>
    </row>
    <row r="226" spans="12:12" s="112" customFormat="1">
      <c r="L226" s="113"/>
    </row>
    <row r="227" spans="12:12" s="112" customFormat="1">
      <c r="L227" s="113"/>
    </row>
    <row r="228" spans="12:12" s="112" customFormat="1">
      <c r="L228" s="113"/>
    </row>
    <row r="229" spans="12:12" s="112" customFormat="1">
      <c r="L229" s="113"/>
    </row>
    <row r="230" spans="12:12" s="112" customFormat="1">
      <c r="L230" s="113"/>
    </row>
    <row r="231" spans="12:12" s="112" customFormat="1">
      <c r="L231" s="113"/>
    </row>
    <row r="232" spans="12:12" s="112" customFormat="1">
      <c r="L232" s="113"/>
    </row>
    <row r="233" spans="12:12" s="112" customFormat="1">
      <c r="L233" s="113"/>
    </row>
    <row r="234" spans="12:12" s="112" customFormat="1">
      <c r="L234" s="113"/>
    </row>
    <row r="235" spans="12:12" s="112" customFormat="1">
      <c r="L235" s="113"/>
    </row>
    <row r="236" spans="12:12" s="112" customFormat="1">
      <c r="L236" s="113"/>
    </row>
    <row r="237" spans="12:12" s="112" customFormat="1">
      <c r="L237" s="113"/>
    </row>
    <row r="238" spans="12:12" s="112" customFormat="1">
      <c r="L238" s="113"/>
    </row>
    <row r="239" spans="12:12" s="112" customFormat="1">
      <c r="L239" s="113"/>
    </row>
    <row r="240" spans="12:12" s="112" customFormat="1">
      <c r="L240" s="113"/>
    </row>
    <row r="241" spans="12:12" s="112" customFormat="1">
      <c r="L241" s="113"/>
    </row>
    <row r="242" spans="12:12" s="112" customFormat="1">
      <c r="L242" s="113"/>
    </row>
    <row r="243" spans="12:12" s="112" customFormat="1">
      <c r="L243" s="113"/>
    </row>
    <row r="244" spans="12:12" s="112" customFormat="1">
      <c r="L244" s="113"/>
    </row>
    <row r="245" spans="12:12" s="112" customFormat="1">
      <c r="L245" s="113"/>
    </row>
    <row r="246" spans="12:12" s="112" customFormat="1">
      <c r="L246" s="113"/>
    </row>
    <row r="247" spans="12:12" s="112" customFormat="1">
      <c r="L247" s="113"/>
    </row>
    <row r="248" spans="12:12" s="112" customFormat="1">
      <c r="L248" s="113"/>
    </row>
    <row r="249" spans="12:12" s="112" customFormat="1">
      <c r="L249" s="113"/>
    </row>
    <row r="250" spans="12:12" s="112" customFormat="1">
      <c r="L250" s="113"/>
    </row>
    <row r="251" spans="12:12" s="112" customFormat="1">
      <c r="L251" s="113"/>
    </row>
    <row r="252" spans="12:12" s="112" customFormat="1">
      <c r="L252" s="113"/>
    </row>
    <row r="253" spans="12:12" s="112" customFormat="1">
      <c r="L253" s="113"/>
    </row>
    <row r="254" spans="12:12" s="112" customFormat="1">
      <c r="L254" s="113"/>
    </row>
    <row r="255" spans="12:12" s="112" customFormat="1">
      <c r="L255" s="113"/>
    </row>
    <row r="256" spans="12:12" s="112" customFormat="1">
      <c r="L256" s="113"/>
    </row>
    <row r="257" spans="12:12" s="112" customFormat="1">
      <c r="L257" s="113"/>
    </row>
    <row r="258" spans="12:12" s="112" customFormat="1">
      <c r="L258" s="113"/>
    </row>
    <row r="259" spans="12:12" s="112" customFormat="1">
      <c r="L259" s="113"/>
    </row>
    <row r="260" spans="12:12" s="112" customFormat="1">
      <c r="L260" s="113"/>
    </row>
    <row r="261" spans="12:12" s="112" customFormat="1">
      <c r="L261" s="113"/>
    </row>
    <row r="262" spans="12:12" s="112" customFormat="1">
      <c r="L262" s="113"/>
    </row>
    <row r="263" spans="12:12" s="112" customFormat="1">
      <c r="L263" s="113"/>
    </row>
    <row r="264" spans="12:12" s="112" customFormat="1">
      <c r="L264" s="113"/>
    </row>
    <row r="265" spans="12:12" s="112" customFormat="1">
      <c r="L265" s="113"/>
    </row>
    <row r="266" spans="12:12" s="112" customFormat="1">
      <c r="L266" s="113"/>
    </row>
    <row r="267" spans="12:12" s="112" customFormat="1">
      <c r="L267" s="113"/>
    </row>
    <row r="268" spans="12:12" s="112" customFormat="1">
      <c r="L268" s="113"/>
    </row>
    <row r="269" spans="12:12" s="112" customFormat="1">
      <c r="L269" s="113"/>
    </row>
    <row r="270" spans="12:12" s="112" customFormat="1">
      <c r="L270" s="113"/>
    </row>
    <row r="271" spans="12:12" s="112" customFormat="1">
      <c r="L271" s="113"/>
    </row>
    <row r="272" spans="12:12" s="112" customFormat="1">
      <c r="L272" s="113"/>
    </row>
    <row r="273" spans="12:12" s="112" customFormat="1">
      <c r="L273" s="113"/>
    </row>
    <row r="274" spans="12:12" s="112" customFormat="1">
      <c r="L274" s="113"/>
    </row>
    <row r="275" spans="12:12" s="112" customFormat="1">
      <c r="L275" s="113"/>
    </row>
    <row r="276" spans="12:12" s="112" customFormat="1">
      <c r="L276" s="113"/>
    </row>
    <row r="277" spans="12:12" s="112" customFormat="1">
      <c r="L277" s="113"/>
    </row>
    <row r="278" spans="12:12" s="112" customFormat="1">
      <c r="L278" s="113"/>
    </row>
    <row r="279" spans="12:12" s="112" customFormat="1">
      <c r="L279" s="113"/>
    </row>
    <row r="280" spans="12:12" s="112" customFormat="1">
      <c r="L280" s="113"/>
    </row>
    <row r="281" spans="12:12" s="112" customFormat="1">
      <c r="L281" s="113"/>
    </row>
    <row r="282" spans="12:12" s="112" customFormat="1">
      <c r="L282" s="113"/>
    </row>
    <row r="283" spans="12:12" s="112" customFormat="1">
      <c r="L283" s="113"/>
    </row>
    <row r="284" spans="12:12" s="112" customFormat="1">
      <c r="L284" s="113"/>
    </row>
    <row r="285" spans="12:12" s="112" customFormat="1">
      <c r="L285" s="113"/>
    </row>
    <row r="286" spans="12:12" s="112" customFormat="1">
      <c r="L286" s="113"/>
    </row>
    <row r="287" spans="12:12" s="112" customFormat="1">
      <c r="L287" s="113"/>
    </row>
    <row r="288" spans="12:12" s="112" customFormat="1">
      <c r="L288" s="113"/>
    </row>
    <row r="289" spans="12:12" s="112" customFormat="1">
      <c r="L289" s="113"/>
    </row>
    <row r="290" spans="12:12" s="112" customFormat="1">
      <c r="L290" s="113"/>
    </row>
    <row r="291" spans="12:12" s="112" customFormat="1">
      <c r="L291" s="113"/>
    </row>
    <row r="292" spans="12:12" s="112" customFormat="1">
      <c r="L292" s="113"/>
    </row>
    <row r="293" spans="12:12" s="112" customFormat="1">
      <c r="L293" s="113"/>
    </row>
    <row r="294" spans="12:12" s="112" customFormat="1">
      <c r="L294" s="113"/>
    </row>
    <row r="295" spans="12:12" s="112" customFormat="1">
      <c r="L295" s="113"/>
    </row>
    <row r="296" spans="12:12" s="112" customFormat="1">
      <c r="L296" s="113"/>
    </row>
    <row r="297" spans="12:12" s="112" customFormat="1">
      <c r="L297" s="113"/>
    </row>
    <row r="298" spans="12:12" s="112" customFormat="1">
      <c r="L298" s="113"/>
    </row>
    <row r="299" spans="12:12" s="112" customFormat="1">
      <c r="L299" s="113"/>
    </row>
    <row r="300" spans="12:12" s="112" customFormat="1">
      <c r="L300" s="113"/>
    </row>
    <row r="301" spans="12:12" s="112" customFormat="1">
      <c r="L301" s="113"/>
    </row>
    <row r="302" spans="12:12" s="112" customFormat="1">
      <c r="L302" s="113"/>
    </row>
    <row r="303" spans="12:12" s="112" customFormat="1">
      <c r="L303" s="113"/>
    </row>
    <row r="304" spans="12:12" s="112" customFormat="1">
      <c r="L304" s="113"/>
    </row>
    <row r="305" spans="12:12" s="112" customFormat="1">
      <c r="L305" s="113"/>
    </row>
    <row r="306" spans="12:12" s="112" customFormat="1">
      <c r="L306" s="113"/>
    </row>
    <row r="307" spans="12:12" s="112" customFormat="1">
      <c r="L307" s="113"/>
    </row>
    <row r="308" spans="12:12" s="112" customFormat="1">
      <c r="L308" s="113"/>
    </row>
    <row r="309" spans="12:12" s="112" customFormat="1">
      <c r="L309" s="113"/>
    </row>
    <row r="310" spans="12:12" s="112" customFormat="1">
      <c r="L310" s="113"/>
    </row>
    <row r="311" spans="12:12" s="112" customFormat="1">
      <c r="L311" s="113"/>
    </row>
    <row r="312" spans="12:12" s="112" customFormat="1">
      <c r="L312" s="113"/>
    </row>
    <row r="313" spans="12:12" s="112" customFormat="1">
      <c r="L313" s="113"/>
    </row>
    <row r="314" spans="12:12" s="112" customFormat="1">
      <c r="L314" s="113"/>
    </row>
    <row r="315" spans="12:12" s="112" customFormat="1">
      <c r="L315" s="113"/>
    </row>
    <row r="316" spans="12:12" s="112" customFormat="1">
      <c r="L316" s="113"/>
    </row>
    <row r="317" spans="12:12" s="112" customFormat="1">
      <c r="L317" s="113"/>
    </row>
    <row r="318" spans="12:12" s="112" customFormat="1">
      <c r="L318" s="113"/>
    </row>
    <row r="319" spans="12:12" s="112" customFormat="1">
      <c r="L319" s="113"/>
    </row>
    <row r="320" spans="12:12" s="112" customFormat="1">
      <c r="L320" s="113"/>
    </row>
    <row r="321" spans="12:12" s="112" customFormat="1">
      <c r="L321" s="113"/>
    </row>
    <row r="322" spans="12:12" s="112" customFormat="1">
      <c r="L322" s="113"/>
    </row>
    <row r="323" spans="12:12" s="112" customFormat="1">
      <c r="L323" s="113"/>
    </row>
    <row r="324" spans="12:12" s="112" customFormat="1">
      <c r="L324" s="113"/>
    </row>
    <row r="325" spans="12:12" s="112" customFormat="1">
      <c r="L325" s="113"/>
    </row>
    <row r="326" spans="12:12" s="112" customFormat="1">
      <c r="L326" s="113"/>
    </row>
    <row r="327" spans="12:12" s="112" customFormat="1">
      <c r="L327" s="113"/>
    </row>
    <row r="328" spans="12:12" s="112" customFormat="1">
      <c r="L328" s="113"/>
    </row>
    <row r="329" spans="12:12" s="112" customFormat="1">
      <c r="L329" s="113"/>
    </row>
    <row r="330" spans="12:12" s="112" customFormat="1">
      <c r="L330" s="113"/>
    </row>
    <row r="331" spans="12:12" s="112" customFormat="1">
      <c r="L331" s="113"/>
    </row>
    <row r="332" spans="12:12" s="112" customFormat="1">
      <c r="L332" s="113"/>
    </row>
    <row r="333" spans="12:12" s="112" customFormat="1">
      <c r="L333" s="113"/>
    </row>
    <row r="334" spans="12:12" s="112" customFormat="1">
      <c r="L334" s="113"/>
    </row>
    <row r="335" spans="12:12" s="112" customFormat="1">
      <c r="L335" s="113"/>
    </row>
    <row r="336" spans="12:12" s="112" customFormat="1">
      <c r="L336" s="113"/>
    </row>
    <row r="337" spans="12:12" s="112" customFormat="1">
      <c r="L337" s="113"/>
    </row>
    <row r="338" spans="12:12" s="112" customFormat="1">
      <c r="L338" s="113"/>
    </row>
    <row r="339" spans="12:12" s="112" customFormat="1">
      <c r="L339" s="113"/>
    </row>
    <row r="340" spans="12:12" s="112" customFormat="1">
      <c r="L340" s="113"/>
    </row>
    <row r="341" spans="12:12" s="112" customFormat="1">
      <c r="L341" s="113"/>
    </row>
    <row r="342" spans="12:12" s="112" customFormat="1">
      <c r="L342" s="113"/>
    </row>
    <row r="343" spans="12:12" s="112" customFormat="1">
      <c r="L343" s="113"/>
    </row>
    <row r="344" spans="12:12" s="112" customFormat="1">
      <c r="L344" s="113"/>
    </row>
    <row r="345" spans="12:12" s="112" customFormat="1">
      <c r="L345" s="113"/>
    </row>
    <row r="346" spans="12:12" s="112" customFormat="1">
      <c r="L346" s="113"/>
    </row>
    <row r="347" spans="12:12" s="112" customFormat="1">
      <c r="L347" s="113"/>
    </row>
    <row r="348" spans="12:12" s="112" customFormat="1">
      <c r="L348" s="113"/>
    </row>
    <row r="349" spans="12:12" s="112" customFormat="1">
      <c r="L349" s="113"/>
    </row>
    <row r="350" spans="12:12" s="112" customFormat="1">
      <c r="L350" s="113"/>
    </row>
    <row r="351" spans="12:12" s="112" customFormat="1">
      <c r="L351" s="113"/>
    </row>
    <row r="352" spans="12:12" s="112" customFormat="1">
      <c r="L352" s="113"/>
    </row>
    <row r="353" spans="12:12" s="112" customFormat="1">
      <c r="L353" s="113"/>
    </row>
    <row r="354" spans="12:12" s="112" customFormat="1">
      <c r="L354" s="113"/>
    </row>
    <row r="355" spans="12:12" s="112" customFormat="1">
      <c r="L355" s="113"/>
    </row>
    <row r="356" spans="12:12" s="112" customFormat="1">
      <c r="L356" s="113"/>
    </row>
    <row r="357" spans="12:12" s="112" customFormat="1">
      <c r="L357" s="113"/>
    </row>
    <row r="358" spans="12:12" s="112" customFormat="1">
      <c r="L358" s="113"/>
    </row>
    <row r="359" spans="12:12" s="112" customFormat="1">
      <c r="L359" s="113"/>
    </row>
    <row r="360" spans="12:12" s="112" customFormat="1">
      <c r="L360" s="113"/>
    </row>
    <row r="361" spans="12:12" s="112" customFormat="1">
      <c r="L361" s="113"/>
    </row>
    <row r="362" spans="12:12" s="112" customFormat="1">
      <c r="L362" s="113"/>
    </row>
    <row r="363" spans="12:12" s="112" customFormat="1">
      <c r="L363" s="113"/>
    </row>
    <row r="364" spans="12:12" s="112" customFormat="1">
      <c r="L364" s="113"/>
    </row>
    <row r="365" spans="12:12" s="112" customFormat="1">
      <c r="L365" s="113"/>
    </row>
    <row r="366" spans="12:12" s="112" customFormat="1">
      <c r="L366" s="113"/>
    </row>
    <row r="367" spans="12:12" s="112" customFormat="1">
      <c r="L367" s="113"/>
    </row>
    <row r="368" spans="12:12" s="112" customFormat="1">
      <c r="L368" s="113"/>
    </row>
    <row r="369" spans="12:12" s="112" customFormat="1">
      <c r="L369" s="113"/>
    </row>
    <row r="370" spans="12:12" s="112" customFormat="1">
      <c r="L370" s="113"/>
    </row>
    <row r="371" spans="12:12" s="112" customFormat="1">
      <c r="L371" s="113"/>
    </row>
    <row r="372" spans="12:12" s="112" customFormat="1">
      <c r="L372" s="113"/>
    </row>
    <row r="373" spans="12:12" s="112" customFormat="1">
      <c r="L373" s="113"/>
    </row>
    <row r="374" spans="12:12" s="112" customFormat="1">
      <c r="L374" s="113"/>
    </row>
    <row r="375" spans="12:12" s="112" customFormat="1">
      <c r="L375" s="113"/>
    </row>
    <row r="376" spans="12:12" s="112" customFormat="1">
      <c r="L376" s="113"/>
    </row>
    <row r="377" spans="12:12" s="112" customFormat="1">
      <c r="L377" s="113"/>
    </row>
    <row r="378" spans="12:12" s="112" customFormat="1">
      <c r="L378" s="113"/>
    </row>
    <row r="379" spans="12:12" s="112" customFormat="1">
      <c r="L379" s="113"/>
    </row>
    <row r="380" spans="12:12" s="112" customFormat="1">
      <c r="L380" s="113"/>
    </row>
    <row r="381" spans="12:12" s="112" customFormat="1">
      <c r="L381" s="113"/>
    </row>
    <row r="382" spans="12:12" s="112" customFormat="1">
      <c r="L382" s="113"/>
    </row>
    <row r="383" spans="12:12" s="112" customFormat="1">
      <c r="L383" s="113"/>
    </row>
    <row r="384" spans="12:12" s="112" customFormat="1">
      <c r="L384" s="113"/>
    </row>
    <row r="385" spans="12:12" s="112" customFormat="1">
      <c r="L385" s="113"/>
    </row>
    <row r="386" spans="12:12" s="112" customFormat="1">
      <c r="L386" s="113"/>
    </row>
    <row r="387" spans="12:12" s="112" customFormat="1">
      <c r="L387" s="113"/>
    </row>
    <row r="388" spans="12:12" s="112" customFormat="1">
      <c r="L388" s="113"/>
    </row>
    <row r="389" spans="12:12" s="112" customFormat="1">
      <c r="L389" s="113"/>
    </row>
    <row r="390" spans="12:12" s="112" customFormat="1">
      <c r="L390" s="113"/>
    </row>
    <row r="391" spans="12:12" s="112" customFormat="1">
      <c r="L391" s="113"/>
    </row>
    <row r="392" spans="12:12" s="112" customFormat="1">
      <c r="L392" s="113"/>
    </row>
    <row r="393" spans="12:12" s="112" customFormat="1">
      <c r="L393" s="113"/>
    </row>
    <row r="394" spans="12:12" s="112" customFormat="1">
      <c r="L394" s="113"/>
    </row>
    <row r="395" spans="12:12" s="112" customFormat="1">
      <c r="L395" s="113"/>
    </row>
    <row r="396" spans="12:12" s="112" customFormat="1">
      <c r="L396" s="113"/>
    </row>
    <row r="397" spans="12:12" s="112" customFormat="1">
      <c r="L397" s="113"/>
    </row>
    <row r="398" spans="12:12" s="112" customFormat="1">
      <c r="L398" s="113"/>
    </row>
    <row r="399" spans="12:12" s="112" customFormat="1">
      <c r="L399" s="113"/>
    </row>
    <row r="400" spans="12:12" s="112" customFormat="1">
      <c r="L400" s="113"/>
    </row>
    <row r="401" spans="12:12" s="112" customFormat="1">
      <c r="L401" s="113"/>
    </row>
    <row r="402" spans="12:12" s="112" customFormat="1">
      <c r="L402" s="113"/>
    </row>
    <row r="403" spans="12:12" s="112" customFormat="1">
      <c r="L403" s="113"/>
    </row>
    <row r="404" spans="12:12" s="112" customFormat="1">
      <c r="L404" s="113"/>
    </row>
    <row r="405" spans="12:12" s="112" customFormat="1">
      <c r="L405" s="113"/>
    </row>
    <row r="406" spans="12:12" s="112" customFormat="1">
      <c r="L406" s="113"/>
    </row>
    <row r="407" spans="12:12" s="112" customFormat="1">
      <c r="L407" s="113"/>
    </row>
    <row r="408" spans="12:12" s="112" customFormat="1">
      <c r="L408" s="113"/>
    </row>
    <row r="409" spans="12:12" s="112" customFormat="1">
      <c r="L409" s="113"/>
    </row>
    <row r="410" spans="12:12" s="112" customFormat="1">
      <c r="L410" s="113"/>
    </row>
    <row r="411" spans="12:12" s="112" customFormat="1">
      <c r="L411" s="113"/>
    </row>
    <row r="412" spans="12:12" s="112" customFormat="1">
      <c r="L412" s="113"/>
    </row>
    <row r="413" spans="12:12" s="112" customFormat="1">
      <c r="L413" s="113"/>
    </row>
    <row r="414" spans="12:12" s="112" customFormat="1">
      <c r="L414" s="113"/>
    </row>
    <row r="415" spans="12:12" s="112" customFormat="1">
      <c r="L415" s="113"/>
    </row>
    <row r="416" spans="12:12" s="112" customFormat="1">
      <c r="L416" s="113"/>
    </row>
    <row r="417" spans="12:12" s="112" customFormat="1">
      <c r="L417" s="113"/>
    </row>
    <row r="418" spans="12:12" s="112" customFormat="1">
      <c r="L418" s="113"/>
    </row>
    <row r="419" spans="12:12" s="112" customFormat="1">
      <c r="L419" s="113"/>
    </row>
    <row r="420" spans="12:12" s="112" customFormat="1">
      <c r="L420" s="113"/>
    </row>
    <row r="421" spans="12:12" s="112" customFormat="1">
      <c r="L421" s="113"/>
    </row>
    <row r="422" spans="12:12" s="112" customFormat="1">
      <c r="L422" s="113"/>
    </row>
    <row r="423" spans="12:12" s="112" customFormat="1">
      <c r="L423" s="113"/>
    </row>
    <row r="424" spans="12:12" s="112" customFormat="1">
      <c r="L424" s="113"/>
    </row>
    <row r="425" spans="12:12" s="112" customFormat="1">
      <c r="L425" s="113"/>
    </row>
    <row r="426" spans="12:12" s="112" customFormat="1">
      <c r="L426" s="113"/>
    </row>
    <row r="427" spans="12:12" s="112" customFormat="1">
      <c r="L427" s="113"/>
    </row>
    <row r="428" spans="12:12" s="112" customFormat="1">
      <c r="L428" s="113"/>
    </row>
    <row r="429" spans="12:12" s="112" customFormat="1">
      <c r="L429" s="113"/>
    </row>
    <row r="430" spans="12:12" s="112" customFormat="1">
      <c r="L430" s="113"/>
    </row>
    <row r="431" spans="12:12" s="112" customFormat="1">
      <c r="L431" s="113"/>
    </row>
    <row r="432" spans="12:12" s="112" customFormat="1">
      <c r="L432" s="113"/>
    </row>
    <row r="433" spans="12:12" s="112" customFormat="1">
      <c r="L433" s="113"/>
    </row>
    <row r="434" spans="12:12" s="112" customFormat="1">
      <c r="L434" s="113"/>
    </row>
    <row r="435" spans="12:12" s="112" customFormat="1">
      <c r="L435" s="113"/>
    </row>
    <row r="436" spans="12:12" s="112" customFormat="1">
      <c r="L436" s="113"/>
    </row>
    <row r="437" spans="12:12" s="112" customFormat="1">
      <c r="L437" s="113"/>
    </row>
    <row r="438" spans="12:12" s="112" customFormat="1">
      <c r="L438" s="113"/>
    </row>
    <row r="439" spans="12:12" s="112" customFormat="1">
      <c r="L439" s="113"/>
    </row>
    <row r="440" spans="12:12" s="112" customFormat="1">
      <c r="L440" s="113"/>
    </row>
    <row r="441" spans="12:12" s="112" customFormat="1">
      <c r="L441" s="113"/>
    </row>
    <row r="442" spans="12:12" s="112" customFormat="1">
      <c r="L442" s="113"/>
    </row>
    <row r="443" spans="12:12" s="112" customFormat="1">
      <c r="L443" s="113"/>
    </row>
    <row r="444" spans="12:12" s="112" customFormat="1">
      <c r="L444" s="113"/>
    </row>
    <row r="445" spans="12:12" s="112" customFormat="1">
      <c r="L445" s="113"/>
    </row>
    <row r="446" spans="12:12" s="112" customFormat="1">
      <c r="L446" s="113"/>
    </row>
    <row r="447" spans="12:12" s="112" customFormat="1">
      <c r="L447" s="113"/>
    </row>
    <row r="448" spans="12:12" s="112" customFormat="1">
      <c r="L448" s="113"/>
    </row>
    <row r="449" spans="12:12" s="112" customFormat="1">
      <c r="L449" s="113"/>
    </row>
    <row r="450" spans="12:12" s="112" customFormat="1">
      <c r="L450" s="113"/>
    </row>
    <row r="451" spans="12:12" s="112" customFormat="1">
      <c r="L451" s="113"/>
    </row>
    <row r="452" spans="12:12" s="112" customFormat="1">
      <c r="L452" s="113"/>
    </row>
    <row r="453" spans="12:12" s="112" customFormat="1">
      <c r="L453" s="113"/>
    </row>
    <row r="454" spans="12:12" s="112" customFormat="1">
      <c r="L454" s="113"/>
    </row>
    <row r="455" spans="12:12" s="112" customFormat="1">
      <c r="L455" s="113"/>
    </row>
    <row r="456" spans="12:12" s="112" customFormat="1">
      <c r="L456" s="113"/>
    </row>
    <row r="457" spans="12:12" s="112" customFormat="1">
      <c r="L457" s="113"/>
    </row>
    <row r="458" spans="12:12" s="112" customFormat="1">
      <c r="L458" s="113"/>
    </row>
    <row r="459" spans="12:12" s="112" customFormat="1">
      <c r="L459" s="113"/>
    </row>
    <row r="460" spans="12:12" s="112" customFormat="1">
      <c r="L460" s="113"/>
    </row>
    <row r="461" spans="12:12" s="112" customFormat="1">
      <c r="L461" s="113"/>
    </row>
    <row r="462" spans="12:12" s="112" customFormat="1">
      <c r="L462" s="113"/>
    </row>
    <row r="463" spans="12:12" s="112" customFormat="1">
      <c r="L463" s="113"/>
    </row>
    <row r="464" spans="12:12" s="112" customFormat="1">
      <c r="L464" s="113"/>
    </row>
    <row r="465" spans="12:12" s="112" customFormat="1">
      <c r="L465" s="113"/>
    </row>
    <row r="466" spans="12:12" s="112" customFormat="1">
      <c r="L466" s="113"/>
    </row>
    <row r="467" spans="12:12" s="112" customFormat="1">
      <c r="L467" s="113"/>
    </row>
    <row r="468" spans="12:12" s="112" customFormat="1">
      <c r="L468" s="113"/>
    </row>
    <row r="469" spans="12:12" s="112" customFormat="1">
      <c r="L469" s="113"/>
    </row>
    <row r="470" spans="12:12" s="112" customFormat="1">
      <c r="L470" s="113"/>
    </row>
    <row r="471" spans="12:12" s="112" customFormat="1">
      <c r="L471" s="113"/>
    </row>
    <row r="472" spans="12:12" s="112" customFormat="1">
      <c r="L472" s="113"/>
    </row>
    <row r="473" spans="12:12" s="112" customFormat="1">
      <c r="L473" s="113"/>
    </row>
    <row r="474" spans="12:12" s="112" customFormat="1">
      <c r="L474" s="113"/>
    </row>
    <row r="475" spans="12:12" s="112" customFormat="1">
      <c r="L475" s="113"/>
    </row>
    <row r="476" spans="12:12" s="112" customFormat="1">
      <c r="L476" s="113"/>
    </row>
    <row r="477" spans="12:12" s="112" customFormat="1">
      <c r="L477" s="113"/>
    </row>
    <row r="478" spans="12:12" s="112" customFormat="1">
      <c r="L478" s="113"/>
    </row>
    <row r="479" spans="12:12" s="112" customFormat="1">
      <c r="L479" s="113"/>
    </row>
    <row r="480" spans="12:12" s="112" customFormat="1">
      <c r="L480" s="113"/>
    </row>
    <row r="481" spans="12:12" s="112" customFormat="1">
      <c r="L481" s="113"/>
    </row>
  </sheetData>
  <mergeCells count="7">
    <mergeCell ref="A6:C6"/>
    <mergeCell ref="AC3:AK3"/>
    <mergeCell ref="A5:C5"/>
    <mergeCell ref="A3:C3"/>
    <mergeCell ref="D3:K3"/>
    <mergeCell ref="L3:Y3"/>
    <mergeCell ref="Z3:AA3"/>
  </mergeCells>
  <phoneticPr fontId="21" type="noConversion"/>
  <printOptions gridLines="1"/>
  <pageMargins left="0.7" right="0.7" top="0.75" bottom="0.75" header="0.3" footer="0.3"/>
  <pageSetup paperSize="3"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C4776-1F60-5948-9645-D5311F1D7319}">
  <dimension ref="A1:AI454"/>
  <sheetViews>
    <sheetView zoomScale="80" zoomScaleNormal="80" workbookViewId="0">
      <pane ySplit="6" topLeftCell="A7" activePane="bottomLeft" state="frozen"/>
      <selection pane="bottomLeft" activeCell="A7" sqref="A7"/>
    </sheetView>
  </sheetViews>
  <sheetFormatPr baseColWidth="10" defaultRowHeight="15"/>
  <cols>
    <col min="1" max="1" width="27.1640625" bestFit="1" customWidth="1"/>
    <col min="2" max="2" width="15.83203125" bestFit="1" customWidth="1"/>
    <col min="3" max="3" width="26.1640625" customWidth="1"/>
    <col min="4" max="4" width="20.6640625" bestFit="1" customWidth="1"/>
    <col min="5" max="5" width="21.5" bestFit="1" customWidth="1"/>
    <col min="6" max="6" width="20.83203125" customWidth="1"/>
    <col min="7" max="7" width="23.33203125" customWidth="1"/>
    <col min="8" max="8" width="38.5" bestFit="1" customWidth="1"/>
    <col min="9" max="9" width="20.33203125" customWidth="1"/>
    <col min="10" max="10" width="14.5" style="109" bestFit="1" customWidth="1"/>
    <col min="11" max="12" width="16.5" customWidth="1"/>
    <col min="13" max="13" width="11.5" bestFit="1" customWidth="1"/>
    <col min="14" max="14" width="12.83203125" customWidth="1"/>
    <col min="15" max="15" width="14.33203125" customWidth="1"/>
    <col min="16" max="16" width="13.5" customWidth="1"/>
    <col min="17" max="17" width="14" customWidth="1"/>
    <col min="18" max="18" width="11.5" customWidth="1"/>
    <col min="19" max="19" width="13.83203125" customWidth="1"/>
    <col min="20" max="20" width="11.5" customWidth="1"/>
    <col min="21" max="21" width="12.1640625" customWidth="1"/>
    <col min="22" max="23" width="13" customWidth="1"/>
    <col min="24" max="24" width="23.5" bestFit="1" customWidth="1"/>
    <col min="25" max="25" width="23.6640625" customWidth="1"/>
    <col min="26" max="26" width="14.5" bestFit="1" customWidth="1"/>
    <col min="27" max="30" width="18.33203125" customWidth="1"/>
    <col min="31" max="256" width="8.83203125" customWidth="1"/>
  </cols>
  <sheetData>
    <row r="1" spans="1:35" s="102" customFormat="1" ht="14">
      <c r="A1" s="102" t="s">
        <v>251</v>
      </c>
      <c r="B1" s="102" t="s">
        <v>253</v>
      </c>
      <c r="C1" s="102" t="s">
        <v>254</v>
      </c>
      <c r="D1" s="102" t="s">
        <v>252</v>
      </c>
      <c r="E1" s="102" t="s">
        <v>259</v>
      </c>
      <c r="F1" s="102" t="s">
        <v>277</v>
      </c>
      <c r="G1" s="102" t="s">
        <v>278</v>
      </c>
      <c r="H1" s="102" t="s">
        <v>260</v>
      </c>
      <c r="I1" s="102" t="s">
        <v>261</v>
      </c>
      <c r="J1" s="106" t="s">
        <v>262</v>
      </c>
      <c r="K1" s="102" t="s">
        <v>263</v>
      </c>
      <c r="L1" s="102" t="s">
        <v>264</v>
      </c>
      <c r="M1" s="102" t="s">
        <v>265</v>
      </c>
      <c r="N1" s="102" t="s">
        <v>266</v>
      </c>
      <c r="O1" s="102" t="s">
        <v>267</v>
      </c>
      <c r="P1" s="102" t="s">
        <v>268</v>
      </c>
      <c r="Q1" s="102" t="s">
        <v>281</v>
      </c>
      <c r="R1" s="102" t="s">
        <v>269</v>
      </c>
      <c r="S1" s="102" t="s">
        <v>270</v>
      </c>
      <c r="T1" s="102" t="s">
        <v>271</v>
      </c>
      <c r="U1" s="102" t="s">
        <v>272</v>
      </c>
      <c r="V1" s="102" t="s">
        <v>273</v>
      </c>
      <c r="W1" s="102" t="s">
        <v>255</v>
      </c>
      <c r="X1" s="102" t="s">
        <v>256</v>
      </c>
      <c r="Y1" s="102" t="s">
        <v>257</v>
      </c>
      <c r="Z1" s="102" t="s">
        <v>258</v>
      </c>
    </row>
    <row r="2" spans="1:35" s="102" customFormat="1" ht="14">
      <c r="A2" s="102" t="s">
        <v>413</v>
      </c>
      <c r="J2" s="106"/>
      <c r="Z2" s="103"/>
      <c r="AA2" s="104"/>
      <c r="AB2" s="104"/>
      <c r="AC2" s="104"/>
      <c r="AD2" s="104"/>
      <c r="AE2" s="104"/>
      <c r="AF2" s="104"/>
      <c r="AG2" s="104"/>
      <c r="AH2" s="104"/>
      <c r="AI2" s="105"/>
    </row>
    <row r="3" spans="1:35" s="55" customFormat="1" ht="16">
      <c r="A3" s="168" t="s">
        <v>1</v>
      </c>
      <c r="B3" s="168"/>
      <c r="C3" s="168"/>
      <c r="D3" s="171" t="s">
        <v>290</v>
      </c>
      <c r="E3" s="171"/>
      <c r="F3" s="171"/>
      <c r="G3" s="171"/>
      <c r="H3" s="171"/>
      <c r="I3" s="171"/>
      <c r="J3" s="170" t="s">
        <v>143</v>
      </c>
      <c r="K3" s="170"/>
      <c r="L3" s="170"/>
      <c r="M3" s="170"/>
      <c r="N3" s="170"/>
      <c r="O3" s="170"/>
      <c r="P3" s="170"/>
      <c r="Q3" s="170"/>
      <c r="R3" s="170"/>
      <c r="S3" s="170"/>
      <c r="T3" s="170"/>
      <c r="U3" s="170"/>
      <c r="V3" s="170"/>
      <c r="W3" s="170"/>
      <c r="X3" s="169" t="s">
        <v>26</v>
      </c>
      <c r="Y3" s="169"/>
      <c r="Z3" s="164" t="s">
        <v>34</v>
      </c>
      <c r="AA3" s="165"/>
      <c r="AB3" s="165"/>
      <c r="AC3" s="165"/>
      <c r="AD3" s="165"/>
      <c r="AE3" s="165"/>
      <c r="AF3" s="165"/>
      <c r="AG3" s="165"/>
      <c r="AH3" s="165"/>
      <c r="AI3" s="166"/>
    </row>
    <row r="4" spans="1:35" s="56" customFormat="1" ht="45">
      <c r="A4" s="59" t="s">
        <v>204</v>
      </c>
      <c r="B4" s="59" t="s">
        <v>136</v>
      </c>
      <c r="C4" s="59" t="s">
        <v>203</v>
      </c>
      <c r="D4" s="60" t="s">
        <v>397</v>
      </c>
      <c r="E4" s="61" t="s">
        <v>396</v>
      </c>
      <c r="F4" s="61" t="s">
        <v>395</v>
      </c>
      <c r="G4" s="61" t="s">
        <v>336</v>
      </c>
      <c r="H4" s="60" t="s">
        <v>284</v>
      </c>
      <c r="I4" s="60" t="s">
        <v>285</v>
      </c>
      <c r="J4" s="107" t="s">
        <v>398</v>
      </c>
      <c r="K4" s="62" t="s">
        <v>399</v>
      </c>
      <c r="L4" s="62" t="s">
        <v>139</v>
      </c>
      <c r="M4" s="62" t="s">
        <v>401</v>
      </c>
      <c r="N4" s="62" t="s">
        <v>402</v>
      </c>
      <c r="O4" s="62" t="s">
        <v>21</v>
      </c>
      <c r="P4" s="62" t="s">
        <v>403</v>
      </c>
      <c r="Q4" s="62" t="s">
        <v>404</v>
      </c>
      <c r="R4" s="62" t="s">
        <v>405</v>
      </c>
      <c r="S4" s="62" t="s">
        <v>408</v>
      </c>
      <c r="T4" s="62" t="s">
        <v>409</v>
      </c>
      <c r="U4" s="62" t="s">
        <v>410</v>
      </c>
      <c r="V4" s="62" t="s">
        <v>140</v>
      </c>
      <c r="W4" s="62" t="s">
        <v>286</v>
      </c>
      <c r="X4" s="63" t="s">
        <v>406</v>
      </c>
      <c r="Y4" s="63" t="s">
        <v>407</v>
      </c>
      <c r="Z4" s="26" t="s">
        <v>17</v>
      </c>
      <c r="AA4" s="26" t="s">
        <v>18</v>
      </c>
      <c r="AB4" s="26" t="s">
        <v>15</v>
      </c>
      <c r="AC4" s="26" t="s">
        <v>16</v>
      </c>
      <c r="AD4" s="26" t="s">
        <v>19</v>
      </c>
    </row>
    <row r="5" spans="1:35" s="57" customFormat="1">
      <c r="A5" s="167"/>
      <c r="B5" s="167"/>
      <c r="C5" s="167"/>
      <c r="D5" s="64" t="s">
        <v>10</v>
      </c>
      <c r="E5" s="64"/>
      <c r="F5" s="64"/>
      <c r="G5" s="64"/>
      <c r="H5" s="64"/>
      <c r="I5" s="64"/>
      <c r="J5" s="108"/>
      <c r="K5" s="64"/>
      <c r="L5" s="64"/>
      <c r="M5" s="64"/>
      <c r="N5" s="64"/>
      <c r="O5" s="64"/>
      <c r="P5" s="64"/>
      <c r="Q5" s="64"/>
      <c r="R5" s="64"/>
      <c r="S5" s="64"/>
      <c r="T5" s="64"/>
      <c r="U5" s="64"/>
      <c r="V5" s="64"/>
      <c r="W5" s="64"/>
      <c r="X5" s="64"/>
      <c r="Y5" s="64"/>
      <c r="Z5" s="27" t="s">
        <v>7</v>
      </c>
      <c r="AA5" s="27" t="s">
        <v>9</v>
      </c>
      <c r="AB5" s="27" t="s">
        <v>12</v>
      </c>
      <c r="AC5" s="27" t="s">
        <v>13</v>
      </c>
      <c r="AD5" s="27" t="s">
        <v>14</v>
      </c>
    </row>
    <row r="6" spans="1:35" s="57" customFormat="1">
      <c r="A6" s="186"/>
      <c r="B6" s="187"/>
      <c r="C6" s="188"/>
      <c r="D6" s="64" t="s">
        <v>11</v>
      </c>
      <c r="E6" s="64"/>
      <c r="F6" s="64"/>
      <c r="G6" s="64"/>
      <c r="H6" s="64"/>
      <c r="I6" s="64"/>
      <c r="J6" s="108"/>
      <c r="K6" s="64"/>
      <c r="L6" s="64"/>
      <c r="M6" s="64"/>
      <c r="N6" s="64"/>
      <c r="O6" s="64"/>
      <c r="P6" s="64"/>
      <c r="Q6" s="64"/>
      <c r="R6" s="64"/>
      <c r="S6" s="64"/>
      <c r="T6" s="64"/>
      <c r="U6" s="64"/>
      <c r="V6" s="64"/>
      <c r="W6" s="64"/>
      <c r="X6" s="64"/>
      <c r="Y6" s="64"/>
      <c r="Z6" s="28" t="s">
        <v>8</v>
      </c>
      <c r="AA6" s="28" t="s">
        <v>8</v>
      </c>
      <c r="AB6" s="28" t="s">
        <v>8</v>
      </c>
      <c r="AC6" s="28" t="s">
        <v>8</v>
      </c>
      <c r="AD6" s="28" t="s">
        <v>8</v>
      </c>
    </row>
    <row r="7" spans="1:35" s="115" customFormat="1" ht="14">
      <c r="A7" s="41"/>
      <c r="B7" s="116"/>
      <c r="C7" s="43"/>
      <c r="D7" s="41"/>
      <c r="E7" s="41"/>
      <c r="G7" s="41"/>
      <c r="I7" s="41"/>
      <c r="J7" s="111"/>
      <c r="K7" s="41"/>
      <c r="L7" s="41"/>
      <c r="M7" s="116"/>
      <c r="X7" s="41"/>
      <c r="Y7" s="41"/>
      <c r="Z7" s="39"/>
      <c r="AA7" s="39"/>
      <c r="AB7" s="39"/>
      <c r="AC7" s="39"/>
      <c r="AD7" s="39"/>
    </row>
    <row r="8" spans="1:35" s="115" customFormat="1" ht="14">
      <c r="A8" s="41"/>
      <c r="B8" s="116"/>
      <c r="C8" s="43"/>
      <c r="D8" s="41"/>
      <c r="E8" s="41"/>
      <c r="G8" s="41"/>
      <c r="I8" s="41"/>
      <c r="J8" s="111"/>
      <c r="K8" s="41"/>
      <c r="L8" s="41"/>
      <c r="M8" s="116"/>
      <c r="X8" s="41"/>
      <c r="Y8" s="41"/>
      <c r="Z8" s="39"/>
      <c r="AA8" s="39"/>
      <c r="AB8" s="39"/>
      <c r="AC8" s="39"/>
      <c r="AD8" s="39"/>
    </row>
    <row r="9" spans="1:35" s="115" customFormat="1" ht="14">
      <c r="A9" s="41"/>
      <c r="B9" s="116"/>
      <c r="C9" s="41"/>
      <c r="D9" s="41"/>
      <c r="E9" s="41"/>
      <c r="G9" s="41"/>
      <c r="I9" s="41"/>
      <c r="J9" s="111"/>
      <c r="K9" s="41"/>
      <c r="L9" s="41"/>
      <c r="M9" s="116"/>
      <c r="X9" s="41"/>
      <c r="Y9" s="41"/>
      <c r="Z9" s="39"/>
      <c r="AA9" s="39"/>
      <c r="AB9" s="39"/>
      <c r="AC9" s="39"/>
      <c r="AD9" s="39"/>
    </row>
    <row r="10" spans="1:35" s="115" customFormat="1" ht="14">
      <c r="A10" s="41"/>
      <c r="B10" s="116"/>
      <c r="C10" s="41"/>
      <c r="D10" s="41"/>
      <c r="E10" s="41"/>
      <c r="G10" s="41"/>
      <c r="I10" s="41"/>
      <c r="J10" s="111"/>
      <c r="K10" s="41"/>
      <c r="L10" s="41"/>
      <c r="M10" s="116"/>
      <c r="X10" s="41"/>
      <c r="Y10" s="41"/>
      <c r="Z10" s="39"/>
      <c r="AA10" s="39"/>
      <c r="AB10" s="39"/>
      <c r="AC10" s="39"/>
      <c r="AD10" s="39"/>
    </row>
    <row r="11" spans="1:35" s="115" customFormat="1" ht="14">
      <c r="A11" s="41"/>
      <c r="B11" s="116"/>
      <c r="C11" s="41"/>
      <c r="D11" s="41"/>
      <c r="E11" s="41"/>
      <c r="G11" s="41"/>
      <c r="I11" s="41"/>
      <c r="J11" s="111"/>
      <c r="K11" s="41"/>
      <c r="L11" s="41"/>
      <c r="M11" s="116"/>
      <c r="X11" s="41"/>
      <c r="Y11" s="41"/>
      <c r="Z11" s="39"/>
      <c r="AA11" s="39"/>
      <c r="AB11" s="39"/>
      <c r="AC11" s="39"/>
      <c r="AD11" s="39"/>
    </row>
    <row r="12" spans="1:35" s="115" customFormat="1" ht="14">
      <c r="A12" s="41"/>
      <c r="B12" s="116"/>
      <c r="C12" s="41"/>
      <c r="D12" s="41"/>
      <c r="E12" s="41"/>
      <c r="G12" s="41"/>
      <c r="I12" s="41"/>
      <c r="J12" s="111"/>
      <c r="K12" s="41"/>
      <c r="L12" s="41"/>
      <c r="M12" s="116"/>
      <c r="X12" s="41"/>
      <c r="Y12" s="41"/>
      <c r="Z12" s="39"/>
      <c r="AA12" s="39"/>
      <c r="AB12" s="39"/>
      <c r="AC12" s="39"/>
      <c r="AD12" s="39"/>
    </row>
    <row r="13" spans="1:35" s="115" customFormat="1" ht="14">
      <c r="A13" s="41"/>
      <c r="B13" s="116"/>
      <c r="C13" s="41"/>
      <c r="D13" s="41"/>
      <c r="E13" s="41"/>
      <c r="G13" s="41"/>
      <c r="I13" s="41"/>
      <c r="J13" s="111"/>
      <c r="K13" s="41"/>
      <c r="L13" s="41"/>
      <c r="M13" s="116"/>
      <c r="X13" s="41"/>
      <c r="Y13" s="41"/>
      <c r="Z13" s="39"/>
      <c r="AA13" s="39"/>
      <c r="AB13" s="39"/>
      <c r="AC13" s="39"/>
      <c r="AD13" s="39"/>
    </row>
    <row r="14" spans="1:35" s="115" customFormat="1" ht="14">
      <c r="A14" s="41"/>
      <c r="B14" s="116"/>
      <c r="C14" s="41"/>
      <c r="D14" s="41"/>
      <c r="E14" s="41"/>
      <c r="G14" s="41"/>
      <c r="I14" s="41"/>
      <c r="J14" s="111"/>
      <c r="K14" s="41"/>
      <c r="L14" s="41"/>
      <c r="M14" s="116"/>
      <c r="X14" s="41"/>
      <c r="Y14" s="41"/>
      <c r="Z14" s="39"/>
      <c r="AA14" s="39"/>
      <c r="AB14" s="39"/>
      <c r="AC14" s="39"/>
      <c r="AD14" s="39"/>
    </row>
    <row r="15" spans="1:35" s="115" customFormat="1" ht="14">
      <c r="A15" s="41"/>
      <c r="B15" s="116"/>
      <c r="C15" s="41"/>
      <c r="D15" s="41"/>
      <c r="E15" s="41"/>
      <c r="G15" s="41"/>
      <c r="I15" s="41"/>
      <c r="J15" s="111"/>
      <c r="K15" s="41"/>
      <c r="L15" s="41"/>
      <c r="M15" s="116"/>
      <c r="X15" s="41"/>
      <c r="Y15" s="41"/>
      <c r="Z15" s="39"/>
      <c r="AA15" s="39"/>
      <c r="AB15" s="39"/>
      <c r="AC15" s="39"/>
      <c r="AD15" s="39"/>
    </row>
    <row r="16" spans="1:35" s="115" customFormat="1" ht="14">
      <c r="A16" s="41"/>
      <c r="B16" s="116"/>
      <c r="C16" s="41"/>
      <c r="D16" s="41"/>
      <c r="E16" s="41"/>
      <c r="G16" s="41"/>
      <c r="I16" s="41"/>
      <c r="J16" s="111"/>
      <c r="K16" s="41"/>
      <c r="L16" s="41"/>
      <c r="M16" s="116"/>
      <c r="X16" s="41"/>
      <c r="Y16" s="41"/>
      <c r="Z16" s="39"/>
      <c r="AA16" s="39"/>
      <c r="AB16" s="39"/>
      <c r="AC16" s="39"/>
      <c r="AD16" s="39"/>
    </row>
    <row r="17" spans="1:30" s="115" customFormat="1" ht="14">
      <c r="A17" s="41"/>
      <c r="B17" s="116"/>
      <c r="C17" s="41"/>
      <c r="D17" s="41"/>
      <c r="E17" s="41"/>
      <c r="G17" s="41"/>
      <c r="I17" s="41"/>
      <c r="J17" s="111"/>
      <c r="K17" s="41"/>
      <c r="L17" s="41"/>
      <c r="M17" s="116"/>
      <c r="X17" s="41"/>
      <c r="Y17" s="41"/>
      <c r="Z17" s="39"/>
      <c r="AA17" s="39"/>
      <c r="AB17" s="39"/>
      <c r="AC17" s="39"/>
      <c r="AD17" s="39"/>
    </row>
    <row r="18" spans="1:30" s="112" customFormat="1">
      <c r="J18" s="113"/>
    </row>
    <row r="19" spans="1:30" s="112" customFormat="1">
      <c r="J19" s="113"/>
    </row>
    <row r="20" spans="1:30" s="112" customFormat="1">
      <c r="J20" s="113"/>
    </row>
    <row r="21" spans="1:30" s="112" customFormat="1">
      <c r="J21" s="113"/>
    </row>
    <row r="22" spans="1:30" s="112" customFormat="1">
      <c r="J22" s="113"/>
    </row>
    <row r="23" spans="1:30" s="112" customFormat="1">
      <c r="J23" s="113"/>
    </row>
    <row r="24" spans="1:30" s="112" customFormat="1">
      <c r="J24" s="113"/>
    </row>
    <row r="25" spans="1:30" s="112" customFormat="1">
      <c r="J25" s="113"/>
    </row>
    <row r="26" spans="1:30" s="112" customFormat="1">
      <c r="J26" s="113"/>
    </row>
    <row r="27" spans="1:30" s="112" customFormat="1">
      <c r="J27" s="113"/>
    </row>
    <row r="28" spans="1:30" s="112" customFormat="1">
      <c r="J28" s="113"/>
    </row>
    <row r="29" spans="1:30" s="112" customFormat="1">
      <c r="J29" s="113"/>
    </row>
    <row r="30" spans="1:30" s="112" customFormat="1">
      <c r="J30" s="113"/>
    </row>
    <row r="31" spans="1:30" s="112" customFormat="1">
      <c r="J31" s="113"/>
    </row>
    <row r="32" spans="1:30" s="112" customFormat="1">
      <c r="J32" s="113"/>
    </row>
    <row r="33" spans="10:10" s="112" customFormat="1">
      <c r="J33" s="113"/>
    </row>
    <row r="34" spans="10:10" s="112" customFormat="1">
      <c r="J34" s="113"/>
    </row>
    <row r="35" spans="10:10" s="112" customFormat="1">
      <c r="J35" s="113"/>
    </row>
    <row r="36" spans="10:10" s="112" customFormat="1">
      <c r="J36" s="113"/>
    </row>
    <row r="37" spans="10:10" s="112" customFormat="1">
      <c r="J37" s="113"/>
    </row>
    <row r="38" spans="10:10" s="112" customFormat="1">
      <c r="J38" s="113"/>
    </row>
    <row r="39" spans="10:10" s="112" customFormat="1">
      <c r="J39" s="113"/>
    </row>
    <row r="40" spans="10:10" s="112" customFormat="1">
      <c r="J40" s="113"/>
    </row>
    <row r="41" spans="10:10" s="112" customFormat="1">
      <c r="J41" s="113"/>
    </row>
    <row r="42" spans="10:10" s="112" customFormat="1">
      <c r="J42" s="113"/>
    </row>
    <row r="43" spans="10:10" s="112" customFormat="1">
      <c r="J43" s="113"/>
    </row>
    <row r="44" spans="10:10" s="112" customFormat="1">
      <c r="J44" s="113"/>
    </row>
    <row r="45" spans="10:10" s="112" customFormat="1">
      <c r="J45" s="113"/>
    </row>
    <row r="46" spans="10:10" s="112" customFormat="1">
      <c r="J46" s="113"/>
    </row>
    <row r="47" spans="10:10" s="112" customFormat="1">
      <c r="J47" s="113"/>
    </row>
    <row r="48" spans="10:10" s="112" customFormat="1">
      <c r="J48" s="113"/>
    </row>
    <row r="49" spans="10:10" s="112" customFormat="1">
      <c r="J49" s="113"/>
    </row>
    <row r="50" spans="10:10" s="112" customFormat="1">
      <c r="J50" s="113"/>
    </row>
    <row r="51" spans="10:10" s="112" customFormat="1">
      <c r="J51" s="113"/>
    </row>
    <row r="52" spans="10:10" s="112" customFormat="1">
      <c r="J52" s="113"/>
    </row>
    <row r="53" spans="10:10" s="112" customFormat="1">
      <c r="J53" s="113"/>
    </row>
    <row r="54" spans="10:10" s="112" customFormat="1">
      <c r="J54" s="113"/>
    </row>
    <row r="55" spans="10:10" s="112" customFormat="1">
      <c r="J55" s="113"/>
    </row>
    <row r="56" spans="10:10" s="112" customFormat="1">
      <c r="J56" s="113"/>
    </row>
    <row r="57" spans="10:10" s="112" customFormat="1">
      <c r="J57" s="113"/>
    </row>
    <row r="58" spans="10:10" s="112" customFormat="1">
      <c r="J58" s="113"/>
    </row>
    <row r="59" spans="10:10" s="112" customFormat="1">
      <c r="J59" s="113"/>
    </row>
    <row r="60" spans="10:10" s="112" customFormat="1">
      <c r="J60" s="113"/>
    </row>
    <row r="61" spans="10:10" s="112" customFormat="1">
      <c r="J61" s="113"/>
    </row>
    <row r="62" spans="10:10" s="112" customFormat="1">
      <c r="J62" s="113"/>
    </row>
    <row r="63" spans="10:10" s="112" customFormat="1">
      <c r="J63" s="113"/>
    </row>
    <row r="64" spans="10:10" s="112" customFormat="1">
      <c r="J64" s="113"/>
    </row>
    <row r="65" spans="10:10" s="112" customFormat="1">
      <c r="J65" s="113"/>
    </row>
    <row r="66" spans="10:10" s="112" customFormat="1">
      <c r="J66" s="113"/>
    </row>
    <row r="67" spans="10:10" s="112" customFormat="1">
      <c r="J67" s="113"/>
    </row>
    <row r="68" spans="10:10" s="112" customFormat="1">
      <c r="J68" s="113"/>
    </row>
    <row r="69" spans="10:10" s="112" customFormat="1">
      <c r="J69" s="113"/>
    </row>
    <row r="70" spans="10:10" s="112" customFormat="1">
      <c r="J70" s="113"/>
    </row>
    <row r="71" spans="10:10" s="112" customFormat="1">
      <c r="J71" s="113"/>
    </row>
    <row r="72" spans="10:10" s="112" customFormat="1">
      <c r="J72" s="113"/>
    </row>
    <row r="73" spans="10:10" s="112" customFormat="1">
      <c r="J73" s="113"/>
    </row>
    <row r="74" spans="10:10" s="112" customFormat="1">
      <c r="J74" s="113"/>
    </row>
    <row r="75" spans="10:10" s="112" customFormat="1">
      <c r="J75" s="113"/>
    </row>
    <row r="76" spans="10:10" s="112" customFormat="1">
      <c r="J76" s="113"/>
    </row>
    <row r="77" spans="10:10" s="112" customFormat="1">
      <c r="J77" s="113"/>
    </row>
    <row r="78" spans="10:10" s="112" customFormat="1">
      <c r="J78" s="113"/>
    </row>
    <row r="79" spans="10:10" s="112" customFormat="1">
      <c r="J79" s="113"/>
    </row>
    <row r="80" spans="10:10" s="112" customFormat="1">
      <c r="J80" s="113"/>
    </row>
    <row r="81" spans="10:10" s="112" customFormat="1">
      <c r="J81" s="113"/>
    </row>
    <row r="82" spans="10:10" s="112" customFormat="1">
      <c r="J82" s="113"/>
    </row>
    <row r="83" spans="10:10" s="112" customFormat="1">
      <c r="J83" s="113"/>
    </row>
    <row r="84" spans="10:10" s="112" customFormat="1">
      <c r="J84" s="113"/>
    </row>
    <row r="85" spans="10:10" s="112" customFormat="1">
      <c r="J85" s="113"/>
    </row>
    <row r="86" spans="10:10" s="112" customFormat="1">
      <c r="J86" s="113"/>
    </row>
    <row r="87" spans="10:10" s="112" customFormat="1">
      <c r="J87" s="113"/>
    </row>
    <row r="88" spans="10:10" s="112" customFormat="1">
      <c r="J88" s="113"/>
    </row>
    <row r="89" spans="10:10" s="112" customFormat="1">
      <c r="J89" s="113"/>
    </row>
    <row r="90" spans="10:10" s="112" customFormat="1">
      <c r="J90" s="113"/>
    </row>
    <row r="91" spans="10:10" s="112" customFormat="1">
      <c r="J91" s="113"/>
    </row>
    <row r="92" spans="10:10" s="112" customFormat="1">
      <c r="J92" s="113"/>
    </row>
    <row r="93" spans="10:10" s="112" customFormat="1">
      <c r="J93" s="113"/>
    </row>
    <row r="94" spans="10:10" s="112" customFormat="1">
      <c r="J94" s="113"/>
    </row>
    <row r="95" spans="10:10" s="112" customFormat="1">
      <c r="J95" s="113"/>
    </row>
    <row r="96" spans="10:10" s="112" customFormat="1">
      <c r="J96" s="113"/>
    </row>
    <row r="97" spans="10:10" s="112" customFormat="1">
      <c r="J97" s="113"/>
    </row>
    <row r="98" spans="10:10" s="112" customFormat="1">
      <c r="J98" s="113"/>
    </row>
    <row r="99" spans="10:10" s="112" customFormat="1">
      <c r="J99" s="113"/>
    </row>
    <row r="100" spans="10:10" s="112" customFormat="1">
      <c r="J100" s="113"/>
    </row>
    <row r="101" spans="10:10" s="112" customFormat="1">
      <c r="J101" s="113"/>
    </row>
    <row r="102" spans="10:10" s="112" customFormat="1">
      <c r="J102" s="113"/>
    </row>
    <row r="103" spans="10:10" s="112" customFormat="1">
      <c r="J103" s="113"/>
    </row>
    <row r="104" spans="10:10" s="112" customFormat="1">
      <c r="J104" s="113"/>
    </row>
    <row r="105" spans="10:10" s="112" customFormat="1">
      <c r="J105" s="113"/>
    </row>
    <row r="106" spans="10:10" s="112" customFormat="1">
      <c r="J106" s="113"/>
    </row>
    <row r="107" spans="10:10" s="112" customFormat="1">
      <c r="J107" s="113"/>
    </row>
    <row r="108" spans="10:10" s="112" customFormat="1">
      <c r="J108" s="113"/>
    </row>
    <row r="109" spans="10:10" s="112" customFormat="1">
      <c r="J109" s="113"/>
    </row>
    <row r="110" spans="10:10" s="112" customFormat="1">
      <c r="J110" s="113"/>
    </row>
    <row r="111" spans="10:10" s="112" customFormat="1">
      <c r="J111" s="113"/>
    </row>
    <row r="112" spans="10:10" s="112" customFormat="1">
      <c r="J112" s="113"/>
    </row>
    <row r="113" spans="10:10" s="112" customFormat="1">
      <c r="J113" s="113"/>
    </row>
    <row r="114" spans="10:10" s="112" customFormat="1">
      <c r="J114" s="113"/>
    </row>
    <row r="115" spans="10:10" s="112" customFormat="1">
      <c r="J115" s="113"/>
    </row>
    <row r="116" spans="10:10" s="112" customFormat="1">
      <c r="J116" s="113"/>
    </row>
    <row r="117" spans="10:10" s="112" customFormat="1">
      <c r="J117" s="113"/>
    </row>
    <row r="118" spans="10:10" s="112" customFormat="1">
      <c r="J118" s="113"/>
    </row>
    <row r="119" spans="10:10" s="112" customFormat="1">
      <c r="J119" s="113"/>
    </row>
    <row r="120" spans="10:10" s="112" customFormat="1">
      <c r="J120" s="113"/>
    </row>
    <row r="121" spans="10:10" s="112" customFormat="1">
      <c r="J121" s="113"/>
    </row>
    <row r="122" spans="10:10" s="112" customFormat="1">
      <c r="J122" s="113"/>
    </row>
    <row r="123" spans="10:10" s="112" customFormat="1">
      <c r="J123" s="113"/>
    </row>
    <row r="124" spans="10:10" s="112" customFormat="1">
      <c r="J124" s="113"/>
    </row>
    <row r="125" spans="10:10" s="112" customFormat="1">
      <c r="J125" s="113"/>
    </row>
    <row r="126" spans="10:10" s="112" customFormat="1">
      <c r="J126" s="113"/>
    </row>
    <row r="127" spans="10:10" s="112" customFormat="1">
      <c r="J127" s="113"/>
    </row>
    <row r="128" spans="10:10" s="112" customFormat="1">
      <c r="J128" s="113"/>
    </row>
    <row r="129" spans="10:10" s="112" customFormat="1">
      <c r="J129" s="113"/>
    </row>
    <row r="130" spans="10:10" s="112" customFormat="1">
      <c r="J130" s="113"/>
    </row>
    <row r="131" spans="10:10" s="112" customFormat="1">
      <c r="J131" s="113"/>
    </row>
    <row r="132" spans="10:10" s="112" customFormat="1">
      <c r="J132" s="113"/>
    </row>
    <row r="133" spans="10:10" s="112" customFormat="1">
      <c r="J133" s="113"/>
    </row>
    <row r="134" spans="10:10" s="112" customFormat="1">
      <c r="J134" s="113"/>
    </row>
    <row r="135" spans="10:10" s="112" customFormat="1">
      <c r="J135" s="113"/>
    </row>
    <row r="136" spans="10:10" s="112" customFormat="1">
      <c r="J136" s="113"/>
    </row>
    <row r="137" spans="10:10" s="112" customFormat="1">
      <c r="J137" s="113"/>
    </row>
    <row r="138" spans="10:10" s="112" customFormat="1">
      <c r="J138" s="113"/>
    </row>
    <row r="139" spans="10:10" s="112" customFormat="1">
      <c r="J139" s="113"/>
    </row>
    <row r="140" spans="10:10" s="112" customFormat="1">
      <c r="J140" s="113"/>
    </row>
    <row r="141" spans="10:10" s="112" customFormat="1">
      <c r="J141" s="113"/>
    </row>
    <row r="142" spans="10:10" s="112" customFormat="1">
      <c r="J142" s="113"/>
    </row>
    <row r="143" spans="10:10" s="112" customFormat="1">
      <c r="J143" s="113"/>
    </row>
    <row r="144" spans="10:10" s="112" customFormat="1">
      <c r="J144" s="113"/>
    </row>
    <row r="145" spans="10:10" s="112" customFormat="1">
      <c r="J145" s="113"/>
    </row>
    <row r="146" spans="10:10" s="112" customFormat="1">
      <c r="J146" s="113"/>
    </row>
    <row r="147" spans="10:10" s="112" customFormat="1">
      <c r="J147" s="113"/>
    </row>
    <row r="148" spans="10:10" s="112" customFormat="1">
      <c r="J148" s="113"/>
    </row>
    <row r="149" spans="10:10" s="112" customFormat="1">
      <c r="J149" s="113"/>
    </row>
    <row r="150" spans="10:10" s="112" customFormat="1">
      <c r="J150" s="113"/>
    </row>
    <row r="151" spans="10:10" s="112" customFormat="1">
      <c r="J151" s="113"/>
    </row>
    <row r="152" spans="10:10" s="112" customFormat="1">
      <c r="J152" s="113"/>
    </row>
    <row r="153" spans="10:10" s="112" customFormat="1">
      <c r="J153" s="113"/>
    </row>
    <row r="154" spans="10:10" s="112" customFormat="1">
      <c r="J154" s="113"/>
    </row>
    <row r="155" spans="10:10" s="112" customFormat="1">
      <c r="J155" s="113"/>
    </row>
    <row r="156" spans="10:10" s="112" customFormat="1">
      <c r="J156" s="113"/>
    </row>
    <row r="157" spans="10:10" s="112" customFormat="1">
      <c r="J157" s="113"/>
    </row>
    <row r="158" spans="10:10" s="112" customFormat="1">
      <c r="J158" s="113"/>
    </row>
    <row r="159" spans="10:10" s="112" customFormat="1">
      <c r="J159" s="113"/>
    </row>
    <row r="160" spans="10:10" s="112" customFormat="1">
      <c r="J160" s="113"/>
    </row>
    <row r="161" spans="10:10" s="112" customFormat="1">
      <c r="J161" s="113"/>
    </row>
    <row r="162" spans="10:10" s="112" customFormat="1">
      <c r="J162" s="113"/>
    </row>
    <row r="163" spans="10:10" s="112" customFormat="1">
      <c r="J163" s="113"/>
    </row>
    <row r="164" spans="10:10" s="112" customFormat="1">
      <c r="J164" s="113"/>
    </row>
    <row r="165" spans="10:10" s="112" customFormat="1">
      <c r="J165" s="113"/>
    </row>
    <row r="166" spans="10:10" s="112" customFormat="1">
      <c r="J166" s="113"/>
    </row>
    <row r="167" spans="10:10" s="112" customFormat="1">
      <c r="J167" s="113"/>
    </row>
    <row r="168" spans="10:10" s="112" customFormat="1">
      <c r="J168" s="113"/>
    </row>
    <row r="169" spans="10:10" s="112" customFormat="1">
      <c r="J169" s="113"/>
    </row>
    <row r="170" spans="10:10" s="112" customFormat="1">
      <c r="J170" s="113"/>
    </row>
    <row r="171" spans="10:10" s="112" customFormat="1">
      <c r="J171" s="113"/>
    </row>
    <row r="172" spans="10:10" s="112" customFormat="1">
      <c r="J172" s="113"/>
    </row>
    <row r="173" spans="10:10" s="112" customFormat="1">
      <c r="J173" s="113"/>
    </row>
    <row r="174" spans="10:10" s="112" customFormat="1">
      <c r="J174" s="113"/>
    </row>
    <row r="175" spans="10:10" s="112" customFormat="1">
      <c r="J175" s="113"/>
    </row>
    <row r="176" spans="10:10" s="112" customFormat="1">
      <c r="J176" s="113"/>
    </row>
    <row r="177" spans="10:10" s="112" customFormat="1">
      <c r="J177" s="113"/>
    </row>
    <row r="178" spans="10:10" s="112" customFormat="1">
      <c r="J178" s="113"/>
    </row>
    <row r="179" spans="10:10" s="112" customFormat="1">
      <c r="J179" s="113"/>
    </row>
    <row r="180" spans="10:10" s="112" customFormat="1">
      <c r="J180" s="113"/>
    </row>
    <row r="181" spans="10:10" s="112" customFormat="1">
      <c r="J181" s="113"/>
    </row>
    <row r="182" spans="10:10" s="112" customFormat="1">
      <c r="J182" s="113"/>
    </row>
    <row r="183" spans="10:10" s="112" customFormat="1">
      <c r="J183" s="113"/>
    </row>
    <row r="184" spans="10:10" s="112" customFormat="1">
      <c r="J184" s="113"/>
    </row>
    <row r="185" spans="10:10" s="112" customFormat="1">
      <c r="J185" s="113"/>
    </row>
    <row r="186" spans="10:10" s="112" customFormat="1">
      <c r="J186" s="113"/>
    </row>
    <row r="187" spans="10:10" s="112" customFormat="1">
      <c r="J187" s="113"/>
    </row>
    <row r="188" spans="10:10" s="112" customFormat="1">
      <c r="J188" s="113"/>
    </row>
    <row r="189" spans="10:10" s="112" customFormat="1">
      <c r="J189" s="113"/>
    </row>
    <row r="190" spans="10:10" s="112" customFormat="1">
      <c r="J190" s="113"/>
    </row>
    <row r="191" spans="10:10" s="112" customFormat="1">
      <c r="J191" s="113"/>
    </row>
    <row r="192" spans="10:10" s="112" customFormat="1">
      <c r="J192" s="113"/>
    </row>
    <row r="193" spans="10:10" s="112" customFormat="1">
      <c r="J193" s="113"/>
    </row>
    <row r="194" spans="10:10" s="112" customFormat="1">
      <c r="J194" s="113"/>
    </row>
    <row r="195" spans="10:10" s="112" customFormat="1">
      <c r="J195" s="113"/>
    </row>
    <row r="196" spans="10:10" s="112" customFormat="1">
      <c r="J196" s="113"/>
    </row>
    <row r="197" spans="10:10" s="112" customFormat="1">
      <c r="J197" s="113"/>
    </row>
    <row r="198" spans="10:10" s="112" customFormat="1">
      <c r="J198" s="113"/>
    </row>
    <row r="199" spans="10:10" s="112" customFormat="1">
      <c r="J199" s="113"/>
    </row>
    <row r="200" spans="10:10" s="112" customFormat="1">
      <c r="J200" s="113"/>
    </row>
    <row r="201" spans="10:10" s="112" customFormat="1">
      <c r="J201" s="113"/>
    </row>
    <row r="202" spans="10:10" s="112" customFormat="1">
      <c r="J202" s="113"/>
    </row>
    <row r="203" spans="10:10" s="112" customFormat="1">
      <c r="J203" s="113"/>
    </row>
    <row r="204" spans="10:10" s="112" customFormat="1">
      <c r="J204" s="113"/>
    </row>
    <row r="205" spans="10:10" s="112" customFormat="1">
      <c r="J205" s="113"/>
    </row>
    <row r="206" spans="10:10" s="112" customFormat="1">
      <c r="J206" s="113"/>
    </row>
    <row r="207" spans="10:10" s="112" customFormat="1">
      <c r="J207" s="113"/>
    </row>
    <row r="208" spans="10:10" s="112" customFormat="1">
      <c r="J208" s="113"/>
    </row>
    <row r="209" spans="10:10" s="112" customFormat="1">
      <c r="J209" s="113"/>
    </row>
    <row r="210" spans="10:10" s="112" customFormat="1">
      <c r="J210" s="113"/>
    </row>
    <row r="211" spans="10:10" s="112" customFormat="1">
      <c r="J211" s="113"/>
    </row>
    <row r="212" spans="10:10" s="112" customFormat="1">
      <c r="J212" s="113"/>
    </row>
    <row r="213" spans="10:10" s="112" customFormat="1">
      <c r="J213" s="113"/>
    </row>
    <row r="214" spans="10:10" s="112" customFormat="1">
      <c r="J214" s="113"/>
    </row>
    <row r="215" spans="10:10" s="112" customFormat="1">
      <c r="J215" s="113"/>
    </row>
    <row r="216" spans="10:10" s="112" customFormat="1">
      <c r="J216" s="113"/>
    </row>
    <row r="217" spans="10:10" s="112" customFormat="1">
      <c r="J217" s="113"/>
    </row>
    <row r="218" spans="10:10" s="112" customFormat="1">
      <c r="J218" s="113"/>
    </row>
    <row r="219" spans="10:10" s="112" customFormat="1">
      <c r="J219" s="113"/>
    </row>
    <row r="220" spans="10:10" s="112" customFormat="1">
      <c r="J220" s="113"/>
    </row>
    <row r="221" spans="10:10" s="112" customFormat="1">
      <c r="J221" s="113"/>
    </row>
    <row r="222" spans="10:10" s="112" customFormat="1">
      <c r="J222" s="113"/>
    </row>
    <row r="223" spans="10:10" s="112" customFormat="1">
      <c r="J223" s="113"/>
    </row>
    <row r="224" spans="10:10" s="112" customFormat="1">
      <c r="J224" s="113"/>
    </row>
    <row r="225" spans="10:10" s="112" customFormat="1">
      <c r="J225" s="113"/>
    </row>
    <row r="226" spans="10:10" s="112" customFormat="1">
      <c r="J226" s="113"/>
    </row>
    <row r="227" spans="10:10" s="112" customFormat="1">
      <c r="J227" s="113"/>
    </row>
    <row r="228" spans="10:10" s="112" customFormat="1">
      <c r="J228" s="113"/>
    </row>
    <row r="229" spans="10:10" s="112" customFormat="1">
      <c r="J229" s="113"/>
    </row>
    <row r="230" spans="10:10" s="112" customFormat="1">
      <c r="J230" s="113"/>
    </row>
    <row r="231" spans="10:10" s="112" customFormat="1">
      <c r="J231" s="113"/>
    </row>
    <row r="232" spans="10:10" s="112" customFormat="1">
      <c r="J232" s="113"/>
    </row>
    <row r="233" spans="10:10" s="112" customFormat="1">
      <c r="J233" s="113"/>
    </row>
    <row r="234" spans="10:10" s="112" customFormat="1">
      <c r="J234" s="113"/>
    </row>
    <row r="235" spans="10:10" s="112" customFormat="1">
      <c r="J235" s="113"/>
    </row>
    <row r="236" spans="10:10" s="112" customFormat="1">
      <c r="J236" s="113"/>
    </row>
    <row r="237" spans="10:10" s="112" customFormat="1">
      <c r="J237" s="113"/>
    </row>
    <row r="238" spans="10:10" s="112" customFormat="1">
      <c r="J238" s="113"/>
    </row>
    <row r="239" spans="10:10" s="112" customFormat="1">
      <c r="J239" s="113"/>
    </row>
    <row r="240" spans="10:10" s="112" customFormat="1">
      <c r="J240" s="113"/>
    </row>
    <row r="241" spans="10:10" s="112" customFormat="1">
      <c r="J241" s="113"/>
    </row>
    <row r="242" spans="10:10" s="112" customFormat="1">
      <c r="J242" s="113"/>
    </row>
    <row r="243" spans="10:10" s="112" customFormat="1">
      <c r="J243" s="113"/>
    </row>
    <row r="244" spans="10:10" s="112" customFormat="1">
      <c r="J244" s="113"/>
    </row>
    <row r="245" spans="10:10" s="112" customFormat="1">
      <c r="J245" s="113"/>
    </row>
    <row r="246" spans="10:10" s="112" customFormat="1">
      <c r="J246" s="113"/>
    </row>
    <row r="247" spans="10:10" s="112" customFormat="1">
      <c r="J247" s="113"/>
    </row>
    <row r="248" spans="10:10" s="112" customFormat="1">
      <c r="J248" s="113"/>
    </row>
    <row r="249" spans="10:10" s="112" customFormat="1">
      <c r="J249" s="113"/>
    </row>
    <row r="250" spans="10:10" s="112" customFormat="1">
      <c r="J250" s="113"/>
    </row>
    <row r="251" spans="10:10" s="112" customFormat="1">
      <c r="J251" s="113"/>
    </row>
    <row r="252" spans="10:10" s="112" customFormat="1">
      <c r="J252" s="113"/>
    </row>
    <row r="253" spans="10:10" s="112" customFormat="1">
      <c r="J253" s="113"/>
    </row>
    <row r="254" spans="10:10" s="112" customFormat="1">
      <c r="J254" s="113"/>
    </row>
    <row r="255" spans="10:10" s="112" customFormat="1">
      <c r="J255" s="113"/>
    </row>
    <row r="256" spans="10:10" s="112" customFormat="1">
      <c r="J256" s="113"/>
    </row>
    <row r="257" spans="10:10" s="112" customFormat="1">
      <c r="J257" s="113"/>
    </row>
    <row r="258" spans="10:10" s="112" customFormat="1">
      <c r="J258" s="113"/>
    </row>
    <row r="259" spans="10:10" s="112" customFormat="1">
      <c r="J259" s="113"/>
    </row>
    <row r="260" spans="10:10" s="112" customFormat="1">
      <c r="J260" s="113"/>
    </row>
    <row r="261" spans="10:10" s="112" customFormat="1">
      <c r="J261" s="113"/>
    </row>
    <row r="262" spans="10:10" s="112" customFormat="1">
      <c r="J262" s="113"/>
    </row>
    <row r="263" spans="10:10" s="112" customFormat="1">
      <c r="J263" s="113"/>
    </row>
    <row r="264" spans="10:10" s="112" customFormat="1">
      <c r="J264" s="113"/>
    </row>
    <row r="265" spans="10:10" s="112" customFormat="1">
      <c r="J265" s="113"/>
    </row>
    <row r="266" spans="10:10" s="112" customFormat="1">
      <c r="J266" s="113"/>
    </row>
    <row r="267" spans="10:10" s="112" customFormat="1">
      <c r="J267" s="113"/>
    </row>
    <row r="268" spans="10:10" s="112" customFormat="1">
      <c r="J268" s="113"/>
    </row>
    <row r="269" spans="10:10" s="112" customFormat="1">
      <c r="J269" s="113"/>
    </row>
    <row r="270" spans="10:10" s="112" customFormat="1">
      <c r="J270" s="113"/>
    </row>
    <row r="271" spans="10:10" s="112" customFormat="1">
      <c r="J271" s="113"/>
    </row>
    <row r="272" spans="10:10" s="112" customFormat="1">
      <c r="J272" s="113"/>
    </row>
    <row r="273" spans="10:10" s="112" customFormat="1">
      <c r="J273" s="113"/>
    </row>
    <row r="274" spans="10:10" s="112" customFormat="1">
      <c r="J274" s="113"/>
    </row>
    <row r="275" spans="10:10" s="112" customFormat="1">
      <c r="J275" s="113"/>
    </row>
    <row r="276" spans="10:10" s="112" customFormat="1">
      <c r="J276" s="113"/>
    </row>
    <row r="277" spans="10:10" s="112" customFormat="1">
      <c r="J277" s="113"/>
    </row>
    <row r="278" spans="10:10" s="112" customFormat="1">
      <c r="J278" s="113"/>
    </row>
    <row r="279" spans="10:10" s="112" customFormat="1">
      <c r="J279" s="113"/>
    </row>
    <row r="280" spans="10:10" s="112" customFormat="1">
      <c r="J280" s="113"/>
    </row>
    <row r="281" spans="10:10" s="112" customFormat="1">
      <c r="J281" s="113"/>
    </row>
    <row r="282" spans="10:10" s="112" customFormat="1">
      <c r="J282" s="113"/>
    </row>
    <row r="283" spans="10:10" s="112" customFormat="1">
      <c r="J283" s="113"/>
    </row>
    <row r="284" spans="10:10" s="112" customFormat="1">
      <c r="J284" s="113"/>
    </row>
    <row r="285" spans="10:10" s="112" customFormat="1">
      <c r="J285" s="113"/>
    </row>
    <row r="286" spans="10:10" s="112" customFormat="1">
      <c r="J286" s="113"/>
    </row>
    <row r="287" spans="10:10" s="112" customFormat="1">
      <c r="J287" s="113"/>
    </row>
    <row r="288" spans="10:10" s="112" customFormat="1">
      <c r="J288" s="113"/>
    </row>
    <row r="289" spans="10:10" s="112" customFormat="1">
      <c r="J289" s="113"/>
    </row>
    <row r="290" spans="10:10" s="112" customFormat="1">
      <c r="J290" s="113"/>
    </row>
    <row r="291" spans="10:10" s="112" customFormat="1">
      <c r="J291" s="113"/>
    </row>
    <row r="292" spans="10:10" s="112" customFormat="1">
      <c r="J292" s="113"/>
    </row>
    <row r="293" spans="10:10" s="112" customFormat="1">
      <c r="J293" s="113"/>
    </row>
    <row r="294" spans="10:10" s="112" customFormat="1">
      <c r="J294" s="113"/>
    </row>
    <row r="295" spans="10:10" s="112" customFormat="1">
      <c r="J295" s="113"/>
    </row>
    <row r="296" spans="10:10" s="112" customFormat="1">
      <c r="J296" s="113"/>
    </row>
    <row r="297" spans="10:10" s="112" customFormat="1">
      <c r="J297" s="113"/>
    </row>
    <row r="298" spans="10:10" s="112" customFormat="1">
      <c r="J298" s="113"/>
    </row>
    <row r="299" spans="10:10" s="112" customFormat="1">
      <c r="J299" s="113"/>
    </row>
    <row r="300" spans="10:10" s="112" customFormat="1">
      <c r="J300" s="113"/>
    </row>
    <row r="301" spans="10:10" s="112" customFormat="1">
      <c r="J301" s="113"/>
    </row>
    <row r="302" spans="10:10" s="112" customFormat="1">
      <c r="J302" s="113"/>
    </row>
    <row r="303" spans="10:10" s="112" customFormat="1">
      <c r="J303" s="113"/>
    </row>
    <row r="304" spans="10:10" s="112" customFormat="1">
      <c r="J304" s="113"/>
    </row>
    <row r="305" spans="10:10" s="112" customFormat="1">
      <c r="J305" s="113"/>
    </row>
    <row r="306" spans="10:10" s="112" customFormat="1">
      <c r="J306" s="113"/>
    </row>
    <row r="307" spans="10:10" s="112" customFormat="1">
      <c r="J307" s="113"/>
    </row>
    <row r="308" spans="10:10" s="112" customFormat="1">
      <c r="J308" s="113"/>
    </row>
    <row r="309" spans="10:10" s="112" customFormat="1">
      <c r="J309" s="113"/>
    </row>
    <row r="310" spans="10:10" s="112" customFormat="1">
      <c r="J310" s="113"/>
    </row>
    <row r="311" spans="10:10" s="112" customFormat="1">
      <c r="J311" s="113"/>
    </row>
    <row r="312" spans="10:10" s="112" customFormat="1">
      <c r="J312" s="113"/>
    </row>
    <row r="313" spans="10:10" s="112" customFormat="1">
      <c r="J313" s="113"/>
    </row>
    <row r="314" spans="10:10" s="112" customFormat="1">
      <c r="J314" s="113"/>
    </row>
    <row r="315" spans="10:10" s="112" customFormat="1">
      <c r="J315" s="113"/>
    </row>
    <row r="316" spans="10:10" s="112" customFormat="1">
      <c r="J316" s="113"/>
    </row>
    <row r="317" spans="10:10" s="112" customFormat="1">
      <c r="J317" s="113"/>
    </row>
    <row r="318" spans="10:10" s="112" customFormat="1">
      <c r="J318" s="113"/>
    </row>
    <row r="319" spans="10:10" s="112" customFormat="1">
      <c r="J319" s="113"/>
    </row>
    <row r="320" spans="10:10" s="112" customFormat="1">
      <c r="J320" s="113"/>
    </row>
    <row r="321" spans="10:10" s="112" customFormat="1">
      <c r="J321" s="113"/>
    </row>
    <row r="322" spans="10:10" s="112" customFormat="1">
      <c r="J322" s="113"/>
    </row>
    <row r="323" spans="10:10" s="112" customFormat="1">
      <c r="J323" s="113"/>
    </row>
    <row r="324" spans="10:10" s="112" customFormat="1">
      <c r="J324" s="113"/>
    </row>
    <row r="325" spans="10:10" s="112" customFormat="1">
      <c r="J325" s="113"/>
    </row>
    <row r="326" spans="10:10" s="112" customFormat="1">
      <c r="J326" s="113"/>
    </row>
    <row r="327" spans="10:10" s="112" customFormat="1">
      <c r="J327" s="113"/>
    </row>
    <row r="328" spans="10:10" s="112" customFormat="1">
      <c r="J328" s="113"/>
    </row>
    <row r="329" spans="10:10" s="112" customFormat="1">
      <c r="J329" s="113"/>
    </row>
    <row r="330" spans="10:10" s="112" customFormat="1">
      <c r="J330" s="113"/>
    </row>
    <row r="331" spans="10:10" s="112" customFormat="1">
      <c r="J331" s="113"/>
    </row>
    <row r="332" spans="10:10" s="112" customFormat="1">
      <c r="J332" s="113"/>
    </row>
    <row r="333" spans="10:10" s="112" customFormat="1">
      <c r="J333" s="113"/>
    </row>
    <row r="334" spans="10:10" s="112" customFormat="1">
      <c r="J334" s="113"/>
    </row>
    <row r="335" spans="10:10" s="112" customFormat="1">
      <c r="J335" s="113"/>
    </row>
    <row r="336" spans="10:10" s="112" customFormat="1">
      <c r="J336" s="113"/>
    </row>
    <row r="337" spans="10:10" s="112" customFormat="1">
      <c r="J337" s="113"/>
    </row>
    <row r="338" spans="10:10" s="112" customFormat="1">
      <c r="J338" s="113"/>
    </row>
    <row r="339" spans="10:10" s="112" customFormat="1">
      <c r="J339" s="113"/>
    </row>
    <row r="340" spans="10:10" s="112" customFormat="1">
      <c r="J340" s="113"/>
    </row>
    <row r="341" spans="10:10" s="112" customFormat="1">
      <c r="J341" s="113"/>
    </row>
    <row r="342" spans="10:10" s="112" customFormat="1">
      <c r="J342" s="113"/>
    </row>
    <row r="343" spans="10:10" s="112" customFormat="1">
      <c r="J343" s="113"/>
    </row>
    <row r="344" spans="10:10" s="112" customFormat="1">
      <c r="J344" s="113"/>
    </row>
    <row r="345" spans="10:10" s="112" customFormat="1">
      <c r="J345" s="113"/>
    </row>
    <row r="346" spans="10:10" s="112" customFormat="1">
      <c r="J346" s="113"/>
    </row>
    <row r="347" spans="10:10" s="112" customFormat="1">
      <c r="J347" s="113"/>
    </row>
    <row r="348" spans="10:10" s="112" customFormat="1">
      <c r="J348" s="113"/>
    </row>
    <row r="349" spans="10:10" s="112" customFormat="1">
      <c r="J349" s="113"/>
    </row>
    <row r="350" spans="10:10" s="112" customFormat="1">
      <c r="J350" s="113"/>
    </row>
    <row r="351" spans="10:10" s="112" customFormat="1">
      <c r="J351" s="113"/>
    </row>
    <row r="352" spans="10:10" s="112" customFormat="1">
      <c r="J352" s="113"/>
    </row>
    <row r="353" spans="10:10" s="112" customFormat="1">
      <c r="J353" s="113"/>
    </row>
    <row r="354" spans="10:10" s="112" customFormat="1">
      <c r="J354" s="113"/>
    </row>
    <row r="355" spans="10:10" s="112" customFormat="1">
      <c r="J355" s="113"/>
    </row>
    <row r="356" spans="10:10" s="112" customFormat="1">
      <c r="J356" s="113"/>
    </row>
    <row r="357" spans="10:10" s="112" customFormat="1">
      <c r="J357" s="113"/>
    </row>
    <row r="358" spans="10:10" s="112" customFormat="1">
      <c r="J358" s="113"/>
    </row>
    <row r="359" spans="10:10" s="112" customFormat="1">
      <c r="J359" s="113"/>
    </row>
    <row r="360" spans="10:10" s="112" customFormat="1">
      <c r="J360" s="113"/>
    </row>
    <row r="361" spans="10:10" s="112" customFormat="1">
      <c r="J361" s="113"/>
    </row>
    <row r="362" spans="10:10" s="112" customFormat="1">
      <c r="J362" s="113"/>
    </row>
    <row r="363" spans="10:10" s="112" customFormat="1">
      <c r="J363" s="113"/>
    </row>
    <row r="364" spans="10:10" s="112" customFormat="1">
      <c r="J364" s="113"/>
    </row>
    <row r="365" spans="10:10" s="112" customFormat="1">
      <c r="J365" s="113"/>
    </row>
    <row r="366" spans="10:10" s="112" customFormat="1">
      <c r="J366" s="113"/>
    </row>
    <row r="367" spans="10:10" s="112" customFormat="1">
      <c r="J367" s="113"/>
    </row>
    <row r="368" spans="10:10" s="112" customFormat="1">
      <c r="J368" s="113"/>
    </row>
    <row r="369" spans="10:10" s="112" customFormat="1">
      <c r="J369" s="113"/>
    </row>
    <row r="370" spans="10:10" s="112" customFormat="1">
      <c r="J370" s="113"/>
    </row>
    <row r="371" spans="10:10" s="112" customFormat="1">
      <c r="J371" s="113"/>
    </row>
    <row r="372" spans="10:10" s="112" customFormat="1">
      <c r="J372" s="113"/>
    </row>
    <row r="373" spans="10:10" s="112" customFormat="1">
      <c r="J373" s="113"/>
    </row>
    <row r="374" spans="10:10" s="112" customFormat="1">
      <c r="J374" s="113"/>
    </row>
    <row r="375" spans="10:10" s="112" customFormat="1">
      <c r="J375" s="113"/>
    </row>
    <row r="376" spans="10:10" s="112" customFormat="1">
      <c r="J376" s="113"/>
    </row>
    <row r="377" spans="10:10" s="112" customFormat="1">
      <c r="J377" s="113"/>
    </row>
    <row r="378" spans="10:10" s="112" customFormat="1">
      <c r="J378" s="113"/>
    </row>
    <row r="379" spans="10:10" s="112" customFormat="1">
      <c r="J379" s="113"/>
    </row>
    <row r="380" spans="10:10" s="112" customFormat="1">
      <c r="J380" s="113"/>
    </row>
    <row r="381" spans="10:10" s="112" customFormat="1">
      <c r="J381" s="113"/>
    </row>
    <row r="382" spans="10:10" s="112" customFormat="1">
      <c r="J382" s="113"/>
    </row>
    <row r="383" spans="10:10" s="112" customFormat="1">
      <c r="J383" s="113"/>
    </row>
    <row r="384" spans="10:10" s="112" customFormat="1">
      <c r="J384" s="113"/>
    </row>
    <row r="385" spans="10:10" s="112" customFormat="1">
      <c r="J385" s="113"/>
    </row>
    <row r="386" spans="10:10" s="112" customFormat="1">
      <c r="J386" s="113"/>
    </row>
    <row r="387" spans="10:10" s="112" customFormat="1">
      <c r="J387" s="113"/>
    </row>
    <row r="388" spans="10:10" s="112" customFormat="1">
      <c r="J388" s="113"/>
    </row>
    <row r="389" spans="10:10" s="112" customFormat="1">
      <c r="J389" s="113"/>
    </row>
    <row r="390" spans="10:10" s="112" customFormat="1">
      <c r="J390" s="113"/>
    </row>
    <row r="391" spans="10:10" s="112" customFormat="1">
      <c r="J391" s="113"/>
    </row>
    <row r="392" spans="10:10" s="112" customFormat="1">
      <c r="J392" s="113"/>
    </row>
    <row r="393" spans="10:10" s="112" customFormat="1">
      <c r="J393" s="113"/>
    </row>
    <row r="394" spans="10:10" s="112" customFormat="1">
      <c r="J394" s="113"/>
    </row>
    <row r="395" spans="10:10" s="112" customFormat="1">
      <c r="J395" s="113"/>
    </row>
    <row r="396" spans="10:10" s="112" customFormat="1">
      <c r="J396" s="113"/>
    </row>
    <row r="397" spans="10:10" s="112" customFormat="1">
      <c r="J397" s="113"/>
    </row>
    <row r="398" spans="10:10" s="112" customFormat="1">
      <c r="J398" s="113"/>
    </row>
    <row r="399" spans="10:10" s="112" customFormat="1">
      <c r="J399" s="113"/>
    </row>
    <row r="400" spans="10:10" s="112" customFormat="1">
      <c r="J400" s="113"/>
    </row>
    <row r="401" spans="10:10" s="112" customFormat="1">
      <c r="J401" s="113"/>
    </row>
    <row r="402" spans="10:10" s="112" customFormat="1">
      <c r="J402" s="113"/>
    </row>
    <row r="403" spans="10:10" s="112" customFormat="1">
      <c r="J403" s="113"/>
    </row>
    <row r="404" spans="10:10" s="112" customFormat="1">
      <c r="J404" s="113"/>
    </row>
    <row r="405" spans="10:10" s="112" customFormat="1">
      <c r="J405" s="113"/>
    </row>
    <row r="406" spans="10:10" s="112" customFormat="1">
      <c r="J406" s="113"/>
    </row>
    <row r="407" spans="10:10" s="112" customFormat="1">
      <c r="J407" s="113"/>
    </row>
    <row r="408" spans="10:10" s="112" customFormat="1">
      <c r="J408" s="113"/>
    </row>
    <row r="409" spans="10:10" s="112" customFormat="1">
      <c r="J409" s="113"/>
    </row>
    <row r="410" spans="10:10" s="112" customFormat="1">
      <c r="J410" s="113"/>
    </row>
    <row r="411" spans="10:10" s="112" customFormat="1">
      <c r="J411" s="113"/>
    </row>
    <row r="412" spans="10:10" s="112" customFormat="1">
      <c r="J412" s="113"/>
    </row>
    <row r="413" spans="10:10" s="112" customFormat="1">
      <c r="J413" s="113"/>
    </row>
    <row r="414" spans="10:10" s="112" customFormat="1">
      <c r="J414" s="113"/>
    </row>
    <row r="415" spans="10:10" s="112" customFormat="1">
      <c r="J415" s="113"/>
    </row>
    <row r="416" spans="10:10" s="112" customFormat="1">
      <c r="J416" s="113"/>
    </row>
    <row r="417" spans="10:10" s="112" customFormat="1">
      <c r="J417" s="113"/>
    </row>
    <row r="418" spans="10:10" s="112" customFormat="1">
      <c r="J418" s="113"/>
    </row>
    <row r="419" spans="10:10" s="112" customFormat="1">
      <c r="J419" s="113"/>
    </row>
    <row r="420" spans="10:10" s="112" customFormat="1">
      <c r="J420" s="113"/>
    </row>
    <row r="421" spans="10:10" s="112" customFormat="1">
      <c r="J421" s="113"/>
    </row>
    <row r="422" spans="10:10" s="112" customFormat="1">
      <c r="J422" s="113"/>
    </row>
    <row r="423" spans="10:10" s="112" customFormat="1">
      <c r="J423" s="113"/>
    </row>
    <row r="424" spans="10:10" s="112" customFormat="1">
      <c r="J424" s="113"/>
    </row>
    <row r="425" spans="10:10" s="112" customFormat="1">
      <c r="J425" s="113"/>
    </row>
    <row r="426" spans="10:10" s="112" customFormat="1">
      <c r="J426" s="113"/>
    </row>
    <row r="427" spans="10:10" s="112" customFormat="1">
      <c r="J427" s="113"/>
    </row>
    <row r="428" spans="10:10" s="112" customFormat="1">
      <c r="J428" s="113"/>
    </row>
    <row r="429" spans="10:10" s="112" customFormat="1">
      <c r="J429" s="113"/>
    </row>
    <row r="430" spans="10:10" s="112" customFormat="1">
      <c r="J430" s="113"/>
    </row>
    <row r="431" spans="10:10" s="112" customFormat="1">
      <c r="J431" s="113"/>
    </row>
    <row r="432" spans="10:10" s="112" customFormat="1">
      <c r="J432" s="113"/>
    </row>
    <row r="433" spans="10:10" s="112" customFormat="1">
      <c r="J433" s="113"/>
    </row>
    <row r="434" spans="10:10" s="112" customFormat="1">
      <c r="J434" s="113"/>
    </row>
    <row r="435" spans="10:10" s="112" customFormat="1">
      <c r="J435" s="113"/>
    </row>
    <row r="436" spans="10:10" s="112" customFormat="1">
      <c r="J436" s="113"/>
    </row>
    <row r="437" spans="10:10" s="112" customFormat="1">
      <c r="J437" s="113"/>
    </row>
    <row r="438" spans="10:10" s="112" customFormat="1">
      <c r="J438" s="113"/>
    </row>
    <row r="439" spans="10:10" s="112" customFormat="1">
      <c r="J439" s="113"/>
    </row>
    <row r="440" spans="10:10" s="112" customFormat="1">
      <c r="J440" s="113"/>
    </row>
    <row r="441" spans="10:10" s="112" customFormat="1">
      <c r="J441" s="113"/>
    </row>
    <row r="442" spans="10:10" s="112" customFormat="1">
      <c r="J442" s="113"/>
    </row>
    <row r="443" spans="10:10" s="112" customFormat="1">
      <c r="J443" s="113"/>
    </row>
    <row r="444" spans="10:10" s="112" customFormat="1">
      <c r="J444" s="113"/>
    </row>
    <row r="445" spans="10:10" s="112" customFormat="1">
      <c r="J445" s="113"/>
    </row>
    <row r="446" spans="10:10" s="112" customFormat="1">
      <c r="J446" s="113"/>
    </row>
    <row r="447" spans="10:10" s="112" customFormat="1">
      <c r="J447" s="113"/>
    </row>
    <row r="448" spans="10:10" s="112" customFormat="1">
      <c r="J448" s="113"/>
    </row>
    <row r="449" spans="10:10" s="112" customFormat="1">
      <c r="J449" s="113"/>
    </row>
    <row r="450" spans="10:10" s="112" customFormat="1">
      <c r="J450" s="113"/>
    </row>
    <row r="451" spans="10:10" s="112" customFormat="1">
      <c r="J451" s="113"/>
    </row>
    <row r="452" spans="10:10" s="112" customFormat="1">
      <c r="J452" s="113"/>
    </row>
    <row r="453" spans="10:10" s="112" customFormat="1">
      <c r="J453" s="113"/>
    </row>
    <row r="454" spans="10:10" s="112" customFormat="1">
      <c r="J454" s="113"/>
    </row>
  </sheetData>
  <mergeCells count="7">
    <mergeCell ref="A6:C6"/>
    <mergeCell ref="A3:C3"/>
    <mergeCell ref="D3:I3"/>
    <mergeCell ref="J3:W3"/>
    <mergeCell ref="X3:Y3"/>
    <mergeCell ref="Z3:AI3"/>
    <mergeCell ref="A5:C5"/>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8287-5E96-C847-BD76-C65A2D3E0159}">
  <dimension ref="A1:AI41"/>
  <sheetViews>
    <sheetView zoomScale="85" zoomScaleNormal="85" workbookViewId="0">
      <pane ySplit="6" topLeftCell="A22" activePane="bottomLeft" state="frozen"/>
      <selection pane="bottomLeft" activeCell="G35" sqref="G35"/>
    </sheetView>
  </sheetViews>
  <sheetFormatPr baseColWidth="10" defaultRowHeight="15"/>
  <cols>
    <col min="1" max="1" width="48.33203125" bestFit="1" customWidth="1"/>
    <col min="2" max="2" width="26.6640625" customWidth="1"/>
    <col min="3" max="3" width="32.1640625" bestFit="1" customWidth="1"/>
    <col min="4" max="4" width="22.5" customWidth="1"/>
    <col min="5" max="5" width="24.33203125" bestFit="1" customWidth="1"/>
    <col min="6" max="6" width="18.5" bestFit="1" customWidth="1"/>
    <col min="7" max="7" width="22.5" bestFit="1" customWidth="1"/>
    <col min="8" max="8" width="44.5" customWidth="1"/>
    <col min="9" max="9" width="21.5" customWidth="1"/>
    <col min="10" max="10" width="13.5" customWidth="1"/>
    <col min="11" max="11" width="16.1640625" bestFit="1" customWidth="1"/>
    <col min="12" max="12" width="16" customWidth="1"/>
    <col min="13" max="13" width="16.83203125" customWidth="1"/>
    <col min="14" max="14" width="16.5" customWidth="1"/>
    <col min="15" max="15" width="15" customWidth="1"/>
    <col min="16" max="16" width="16.83203125" customWidth="1"/>
    <col min="17" max="17" width="15.5" customWidth="1"/>
    <col min="18" max="20" width="10.6640625" bestFit="1" customWidth="1"/>
    <col min="21" max="21" width="17.5" bestFit="1" customWidth="1"/>
    <col min="22" max="22" width="16.83203125" bestFit="1" customWidth="1"/>
    <col min="23" max="23" width="13.5" bestFit="1" customWidth="1"/>
    <col min="24" max="24" width="22.5" bestFit="1" customWidth="1"/>
    <col min="25" max="25" width="20" bestFit="1" customWidth="1"/>
    <col min="26" max="26" width="10.6640625" bestFit="1" customWidth="1"/>
    <col min="27" max="27" width="13.5" bestFit="1" customWidth="1"/>
    <col min="28" max="256" width="8.83203125" customWidth="1"/>
  </cols>
  <sheetData>
    <row r="1" spans="1:35" s="102" customFormat="1" ht="14">
      <c r="A1" s="102" t="s">
        <v>251</v>
      </c>
      <c r="B1" s="102" t="s">
        <v>253</v>
      </c>
      <c r="C1" s="102" t="s">
        <v>254</v>
      </c>
      <c r="D1" s="102" t="s">
        <v>252</v>
      </c>
      <c r="E1" s="102" t="s">
        <v>259</v>
      </c>
      <c r="F1" s="102" t="s">
        <v>277</v>
      </c>
      <c r="G1" s="102" t="s">
        <v>278</v>
      </c>
      <c r="H1" s="102" t="s">
        <v>260</v>
      </c>
      <c r="I1" s="102" t="s">
        <v>261</v>
      </c>
      <c r="J1" s="102" t="s">
        <v>262</v>
      </c>
      <c r="K1" s="102" t="s">
        <v>263</v>
      </c>
      <c r="L1" s="102" t="s">
        <v>264</v>
      </c>
      <c r="M1" s="102" t="s">
        <v>265</v>
      </c>
      <c r="N1" s="102" t="s">
        <v>266</v>
      </c>
      <c r="O1" s="102" t="s">
        <v>267</v>
      </c>
      <c r="P1" s="102" t="s">
        <v>268</v>
      </c>
      <c r="Q1" s="102" t="s">
        <v>281</v>
      </c>
      <c r="R1" s="102" t="s">
        <v>269</v>
      </c>
      <c r="S1" s="102" t="s">
        <v>270</v>
      </c>
      <c r="T1" s="102" t="s">
        <v>271</v>
      </c>
      <c r="U1" s="102" t="s">
        <v>272</v>
      </c>
      <c r="V1" s="102" t="s">
        <v>273</v>
      </c>
      <c r="W1" s="102" t="s">
        <v>255</v>
      </c>
      <c r="X1" s="102" t="s">
        <v>256</v>
      </c>
      <c r="Y1" s="102" t="s">
        <v>257</v>
      </c>
      <c r="Z1" s="102" t="s">
        <v>258</v>
      </c>
    </row>
    <row r="2" spans="1:35" s="102" customFormat="1" ht="14">
      <c r="A2" s="102" t="s">
        <v>413</v>
      </c>
      <c r="Z2" s="103"/>
      <c r="AA2" s="104"/>
      <c r="AB2" s="104"/>
      <c r="AC2" s="104"/>
      <c r="AD2" s="104"/>
      <c r="AE2" s="104"/>
      <c r="AF2" s="104"/>
      <c r="AG2" s="104"/>
      <c r="AH2" s="104"/>
      <c r="AI2" s="105"/>
    </row>
    <row r="3" spans="1:35" s="55" customFormat="1" ht="16">
      <c r="A3" s="168" t="s">
        <v>1</v>
      </c>
      <c r="B3" s="168"/>
      <c r="C3" s="168"/>
      <c r="D3" s="171" t="s">
        <v>5</v>
      </c>
      <c r="E3" s="171"/>
      <c r="F3" s="171"/>
      <c r="G3" s="171"/>
      <c r="H3" s="171"/>
      <c r="I3" s="171"/>
      <c r="J3" s="170" t="s">
        <v>143</v>
      </c>
      <c r="K3" s="170"/>
      <c r="L3" s="170"/>
      <c r="M3" s="170"/>
      <c r="N3" s="170"/>
      <c r="O3" s="170"/>
      <c r="P3" s="170"/>
      <c r="Q3" s="170"/>
      <c r="R3" s="170"/>
      <c r="S3" s="170"/>
      <c r="T3" s="170"/>
      <c r="U3" s="170"/>
      <c r="V3" s="170"/>
      <c r="W3" s="170"/>
      <c r="X3" s="169" t="s">
        <v>26</v>
      </c>
      <c r="Y3" s="169"/>
      <c r="Z3" s="164" t="s">
        <v>34</v>
      </c>
      <c r="AA3" s="165"/>
      <c r="AB3" s="165"/>
      <c r="AC3" s="165"/>
      <c r="AD3" s="165"/>
      <c r="AE3" s="165"/>
      <c r="AF3" s="165"/>
      <c r="AG3" s="165"/>
      <c r="AH3" s="165"/>
      <c r="AI3" s="166"/>
    </row>
    <row r="4" spans="1:35" s="56" customFormat="1" ht="58.5" customHeight="1">
      <c r="A4" s="59" t="s">
        <v>204</v>
      </c>
      <c r="B4" s="59" t="s">
        <v>136</v>
      </c>
      <c r="C4" s="59" t="s">
        <v>203</v>
      </c>
      <c r="D4" s="60" t="s">
        <v>276</v>
      </c>
      <c r="E4" s="61" t="s">
        <v>275</v>
      </c>
      <c r="F4" s="61" t="s">
        <v>282</v>
      </c>
      <c r="G4" s="61" t="s">
        <v>274</v>
      </c>
      <c r="H4" s="60" t="s">
        <v>284</v>
      </c>
      <c r="I4" s="60" t="s">
        <v>285</v>
      </c>
      <c r="J4" s="62" t="s">
        <v>137</v>
      </c>
      <c r="K4" s="62" t="s">
        <v>138</v>
      </c>
      <c r="L4" s="62" t="s">
        <v>139</v>
      </c>
      <c r="M4" s="62" t="s">
        <v>219</v>
      </c>
      <c r="N4" s="62" t="s">
        <v>20</v>
      </c>
      <c r="O4" s="62" t="s">
        <v>21</v>
      </c>
      <c r="P4" s="62" t="s">
        <v>30</v>
      </c>
      <c r="Q4" s="62" t="s">
        <v>280</v>
      </c>
      <c r="R4" s="62" t="s">
        <v>28</v>
      </c>
      <c r="S4" s="62" t="s">
        <v>29</v>
      </c>
      <c r="T4" s="62" t="s">
        <v>33</v>
      </c>
      <c r="U4" s="62" t="s">
        <v>134</v>
      </c>
      <c r="V4" s="62" t="s">
        <v>140</v>
      </c>
      <c r="W4" s="62" t="s">
        <v>286</v>
      </c>
      <c r="X4" s="63" t="s">
        <v>141</v>
      </c>
      <c r="Y4" s="63" t="s">
        <v>142</v>
      </c>
    </row>
    <row r="5" spans="1:35" s="57" customFormat="1">
      <c r="A5" s="167"/>
      <c r="B5" s="167"/>
      <c r="C5" s="167"/>
      <c r="D5" s="64" t="s">
        <v>10</v>
      </c>
      <c r="E5" s="64"/>
      <c r="F5" s="64"/>
      <c r="G5" s="64"/>
      <c r="H5" s="64"/>
      <c r="I5" s="64"/>
      <c r="J5" s="64"/>
      <c r="K5" s="64"/>
      <c r="L5" s="64"/>
      <c r="M5" s="64"/>
      <c r="N5" s="64"/>
      <c r="O5" s="64"/>
      <c r="P5" s="64"/>
      <c r="Q5" s="64"/>
      <c r="R5" s="64"/>
      <c r="S5" s="64"/>
      <c r="T5" s="64"/>
      <c r="U5" s="64"/>
      <c r="V5" s="64"/>
      <c r="W5" s="64"/>
      <c r="X5" s="64"/>
      <c r="Y5" s="64"/>
    </row>
    <row r="6" spans="1:35" s="57" customFormat="1" ht="16" thickBot="1">
      <c r="A6" s="167"/>
      <c r="B6" s="167"/>
      <c r="C6" s="167"/>
      <c r="D6" s="64" t="s">
        <v>11</v>
      </c>
      <c r="E6" s="64"/>
      <c r="F6" s="64"/>
      <c r="G6" s="64"/>
      <c r="H6" s="64"/>
      <c r="I6" s="64"/>
      <c r="J6" s="64"/>
      <c r="K6" s="64"/>
      <c r="L6" s="64"/>
      <c r="M6" s="64"/>
      <c r="N6" s="64"/>
      <c r="O6" s="64"/>
      <c r="P6" s="64"/>
      <c r="Q6" s="64"/>
      <c r="R6" s="64"/>
      <c r="S6" s="64"/>
      <c r="T6" s="64"/>
      <c r="U6" s="64"/>
      <c r="V6" s="64"/>
      <c r="W6" s="64"/>
      <c r="X6" s="64"/>
      <c r="Y6" s="64"/>
    </row>
    <row r="7" spans="1:35" ht="174.75" customHeight="1" thickTop="1">
      <c r="A7" s="203" t="s">
        <v>205</v>
      </c>
      <c r="B7" s="204"/>
      <c r="C7" s="204"/>
      <c r="D7" s="205"/>
    </row>
    <row r="8" spans="1:35" s="115" customFormat="1" ht="14">
      <c r="A8" s="40" t="s">
        <v>151</v>
      </c>
      <c r="B8" s="40"/>
      <c r="C8" s="40" t="s">
        <v>152</v>
      </c>
      <c r="D8" s="40" t="s">
        <v>335</v>
      </c>
      <c r="E8" s="40" t="s">
        <v>153</v>
      </c>
      <c r="F8" s="40"/>
      <c r="G8" s="118" t="s">
        <v>153</v>
      </c>
      <c r="I8" s="40" t="s">
        <v>154</v>
      </c>
      <c r="J8" s="110" t="s">
        <v>197</v>
      </c>
      <c r="K8" s="41" t="s">
        <v>249</v>
      </c>
      <c r="M8" s="117">
        <v>4</v>
      </c>
      <c r="X8" s="40" t="s">
        <v>199</v>
      </c>
      <c r="Y8" s="40" t="s">
        <v>200</v>
      </c>
    </row>
    <row r="9" spans="1:35" s="115" customFormat="1" ht="14">
      <c r="A9" s="40" t="s">
        <v>151</v>
      </c>
      <c r="B9" s="40"/>
      <c r="C9" s="40" t="s">
        <v>152</v>
      </c>
      <c r="D9" s="40" t="s">
        <v>296</v>
      </c>
      <c r="E9" s="40" t="s">
        <v>155</v>
      </c>
      <c r="F9" s="40"/>
      <c r="G9" s="114" t="s">
        <v>155</v>
      </c>
      <c r="I9" s="40" t="s">
        <v>291</v>
      </c>
      <c r="J9" s="110" t="s">
        <v>197</v>
      </c>
      <c r="K9" s="41" t="s">
        <v>249</v>
      </c>
      <c r="M9" s="117">
        <v>5</v>
      </c>
      <c r="X9" s="40" t="s">
        <v>201</v>
      </c>
      <c r="Y9" s="40" t="s">
        <v>202</v>
      </c>
    </row>
    <row r="10" spans="1:35" ht="152.25" customHeight="1">
      <c r="A10" s="206" t="s">
        <v>206</v>
      </c>
      <c r="B10" s="207"/>
      <c r="C10" s="207"/>
      <c r="D10" s="208"/>
    </row>
    <row r="11" spans="1:35" s="115" customFormat="1" ht="14">
      <c r="A11" s="41" t="s">
        <v>156</v>
      </c>
      <c r="B11" s="40"/>
      <c r="C11" s="40" t="s">
        <v>157</v>
      </c>
      <c r="D11" s="40" t="s">
        <v>294</v>
      </c>
      <c r="E11" s="40" t="s">
        <v>294</v>
      </c>
      <c r="G11" s="115" t="s">
        <v>292</v>
      </c>
      <c r="H11" s="40" t="s">
        <v>371</v>
      </c>
      <c r="I11" s="40" t="s">
        <v>291</v>
      </c>
      <c r="J11" s="111" t="s">
        <v>132</v>
      </c>
      <c r="K11" s="41" t="s">
        <v>249</v>
      </c>
      <c r="L11" s="40"/>
      <c r="M11" s="117">
        <v>6</v>
      </c>
      <c r="X11" s="40" t="s">
        <v>297</v>
      </c>
      <c r="Y11" s="40" t="s">
        <v>158</v>
      </c>
    </row>
    <row r="12" spans="1:35" s="115" customFormat="1" ht="14">
      <c r="A12" s="41" t="s">
        <v>156</v>
      </c>
      <c r="B12" s="40"/>
      <c r="C12" s="40" t="s">
        <v>159</v>
      </c>
      <c r="D12" s="40" t="s">
        <v>295</v>
      </c>
      <c r="E12" s="40" t="s">
        <v>295</v>
      </c>
      <c r="G12" s="115" t="s">
        <v>293</v>
      </c>
      <c r="H12" s="40" t="s">
        <v>371</v>
      </c>
      <c r="I12" s="40" t="s">
        <v>291</v>
      </c>
      <c r="J12" s="111" t="s">
        <v>132</v>
      </c>
      <c r="K12" s="41" t="s">
        <v>250</v>
      </c>
      <c r="L12" s="40"/>
      <c r="M12" s="117">
        <v>6</v>
      </c>
      <c r="X12" s="40" t="s">
        <v>297</v>
      </c>
      <c r="Y12" s="40" t="s">
        <v>158</v>
      </c>
    </row>
    <row r="13" spans="1:35" ht="125.25" customHeight="1">
      <c r="A13" s="206" t="s">
        <v>220</v>
      </c>
      <c r="B13" s="207"/>
      <c r="C13" s="207"/>
      <c r="D13" s="208"/>
    </row>
    <row r="14" spans="1:35" s="115" customFormat="1" ht="14">
      <c r="A14" s="41" t="s">
        <v>160</v>
      </c>
      <c r="B14" s="116" t="s">
        <v>327</v>
      </c>
      <c r="C14" s="43" t="s">
        <v>169</v>
      </c>
      <c r="D14" s="41" t="s">
        <v>170</v>
      </c>
      <c r="E14" s="41" t="s">
        <v>170</v>
      </c>
      <c r="G14" s="41" t="s">
        <v>302</v>
      </c>
      <c r="H14" s="115" t="s">
        <v>372</v>
      </c>
      <c r="I14" s="41" t="s">
        <v>31</v>
      </c>
      <c r="J14" s="111" t="s">
        <v>132</v>
      </c>
      <c r="K14" s="41" t="s">
        <v>249</v>
      </c>
      <c r="L14" s="41"/>
      <c r="M14" s="116">
        <v>11</v>
      </c>
      <c r="X14" s="41" t="s">
        <v>133</v>
      </c>
      <c r="Y14" s="41" t="s">
        <v>166</v>
      </c>
      <c r="Z14" s="39">
        <v>0.76900000000000002</v>
      </c>
      <c r="AA14" s="39">
        <v>2.92</v>
      </c>
      <c r="AB14" s="39">
        <v>1050</v>
      </c>
      <c r="AC14" s="39">
        <v>115</v>
      </c>
      <c r="AD14" s="39">
        <v>735</v>
      </c>
    </row>
    <row r="15" spans="1:35" s="115" customFormat="1" ht="14">
      <c r="A15" s="41" t="s">
        <v>160</v>
      </c>
      <c r="B15" s="116" t="s">
        <v>328</v>
      </c>
      <c r="C15" s="43" t="s">
        <v>171</v>
      </c>
      <c r="D15" s="41" t="s">
        <v>172</v>
      </c>
      <c r="E15" s="41" t="s">
        <v>172</v>
      </c>
      <c r="G15" s="41" t="s">
        <v>303</v>
      </c>
      <c r="H15" s="115" t="s">
        <v>372</v>
      </c>
      <c r="I15" s="41" t="s">
        <v>31</v>
      </c>
      <c r="J15" s="111" t="s">
        <v>132</v>
      </c>
      <c r="K15" s="41" t="s">
        <v>249</v>
      </c>
      <c r="L15" s="41"/>
      <c r="M15" s="116">
        <v>12</v>
      </c>
      <c r="X15" s="41" t="s">
        <v>133</v>
      </c>
      <c r="Y15" s="41" t="s">
        <v>166</v>
      </c>
      <c r="Z15" s="39">
        <v>0.33800000000000002</v>
      </c>
      <c r="AA15" s="39">
        <v>2.44</v>
      </c>
      <c r="AB15" s="39">
        <v>900</v>
      </c>
      <c r="AC15" s="39">
        <v>90</v>
      </c>
      <c r="AD15" s="39">
        <v>420</v>
      </c>
    </row>
    <row r="16" spans="1:35" s="115" customFormat="1" ht="14">
      <c r="A16" s="41" t="s">
        <v>160</v>
      </c>
      <c r="B16" s="116" t="s">
        <v>329</v>
      </c>
      <c r="C16" s="43" t="s">
        <v>173</v>
      </c>
      <c r="D16" s="41" t="s">
        <v>174</v>
      </c>
      <c r="E16" s="41" t="s">
        <v>174</v>
      </c>
      <c r="G16" s="41" t="s">
        <v>304</v>
      </c>
      <c r="H16" s="115" t="s">
        <v>372</v>
      </c>
      <c r="I16" s="41" t="s">
        <v>31</v>
      </c>
      <c r="J16" s="111" t="s">
        <v>132</v>
      </c>
      <c r="K16" s="41" t="s">
        <v>249</v>
      </c>
      <c r="L16" s="41"/>
      <c r="M16" s="116">
        <v>13</v>
      </c>
      <c r="X16" s="41" t="s">
        <v>133</v>
      </c>
      <c r="Y16" s="41" t="s">
        <v>166</v>
      </c>
      <c r="Z16" s="39">
        <v>1.05</v>
      </c>
      <c r="AA16" s="39">
        <v>2.9</v>
      </c>
      <c r="AB16" s="39">
        <v>1540</v>
      </c>
      <c r="AC16" s="39">
        <v>135</v>
      </c>
      <c r="AD16" s="39">
        <v>1080</v>
      </c>
    </row>
    <row r="17" spans="1:30" s="115" customFormat="1" ht="14">
      <c r="A17" s="41" t="s">
        <v>160</v>
      </c>
      <c r="B17" s="116" t="s">
        <v>330</v>
      </c>
      <c r="C17" s="43" t="s">
        <v>175</v>
      </c>
      <c r="D17" s="41" t="s">
        <v>176</v>
      </c>
      <c r="E17" s="41" t="s">
        <v>176</v>
      </c>
      <c r="G17" s="41" t="s">
        <v>305</v>
      </c>
      <c r="H17" s="115" t="s">
        <v>372</v>
      </c>
      <c r="I17" s="41" t="s">
        <v>31</v>
      </c>
      <c r="J17" s="111" t="s">
        <v>132</v>
      </c>
      <c r="K17" s="41" t="s">
        <v>249</v>
      </c>
      <c r="L17" s="41"/>
      <c r="M17" s="116">
        <v>14</v>
      </c>
      <c r="X17" s="41" t="s">
        <v>133</v>
      </c>
      <c r="Y17" s="41" t="s">
        <v>177</v>
      </c>
      <c r="Z17" s="39">
        <v>1.05</v>
      </c>
      <c r="AA17" s="39">
        <v>2.9</v>
      </c>
      <c r="AB17" s="39">
        <v>1600</v>
      </c>
      <c r="AC17" s="39">
        <v>130</v>
      </c>
      <c r="AD17" s="39">
        <v>1120</v>
      </c>
    </row>
    <row r="18" spans="1:30" s="115" customFormat="1" ht="14">
      <c r="A18" s="41" t="s">
        <v>160</v>
      </c>
      <c r="B18" s="116" t="s">
        <v>330</v>
      </c>
      <c r="C18" s="43" t="s">
        <v>175</v>
      </c>
      <c r="D18" s="41" t="s">
        <v>176</v>
      </c>
      <c r="E18" s="41" t="s">
        <v>176</v>
      </c>
      <c r="G18" s="41" t="s">
        <v>306</v>
      </c>
      <c r="I18" s="41" t="s">
        <v>31</v>
      </c>
      <c r="J18" s="111" t="s">
        <v>132</v>
      </c>
      <c r="K18" s="41" t="s">
        <v>249</v>
      </c>
      <c r="L18" s="41"/>
      <c r="M18" s="116">
        <v>14</v>
      </c>
      <c r="X18" s="41" t="s">
        <v>298</v>
      </c>
      <c r="Y18" s="41" t="s">
        <v>177</v>
      </c>
      <c r="Z18" s="39"/>
      <c r="AA18" s="39"/>
      <c r="AB18" s="39"/>
      <c r="AC18" s="39"/>
      <c r="AD18" s="39"/>
    </row>
    <row r="19" spans="1:30" s="115" customFormat="1" ht="14">
      <c r="A19" s="41" t="s">
        <v>160</v>
      </c>
      <c r="B19" s="116" t="s">
        <v>331</v>
      </c>
      <c r="C19" s="43" t="s">
        <v>178</v>
      </c>
      <c r="D19" s="41" t="s">
        <v>179</v>
      </c>
      <c r="E19" s="41" t="s">
        <v>179</v>
      </c>
      <c r="G19" s="41" t="s">
        <v>307</v>
      </c>
      <c r="H19" s="115" t="s">
        <v>372</v>
      </c>
      <c r="I19" s="41" t="s">
        <v>31</v>
      </c>
      <c r="J19" s="111" t="s">
        <v>132</v>
      </c>
      <c r="K19" s="41" t="s">
        <v>249</v>
      </c>
      <c r="L19" s="41"/>
      <c r="M19" s="116">
        <v>15</v>
      </c>
      <c r="X19" s="41" t="s">
        <v>133</v>
      </c>
      <c r="Y19" s="41" t="s">
        <v>177</v>
      </c>
      <c r="Z19" s="39">
        <v>0.33800000000000002</v>
      </c>
      <c r="AA19" s="39">
        <v>2.44</v>
      </c>
      <c r="AB19" s="39">
        <v>570</v>
      </c>
      <c r="AC19" s="39">
        <v>90</v>
      </c>
      <c r="AD19" s="39">
        <v>400</v>
      </c>
    </row>
    <row r="20" spans="1:30" s="115" customFormat="1" thickBot="1">
      <c r="A20" s="41" t="s">
        <v>160</v>
      </c>
      <c r="B20" s="116" t="s">
        <v>331</v>
      </c>
      <c r="C20" s="43" t="s">
        <v>178</v>
      </c>
      <c r="D20" s="41" t="s">
        <v>179</v>
      </c>
      <c r="E20" s="41" t="s">
        <v>179</v>
      </c>
      <c r="G20" s="41" t="s">
        <v>308</v>
      </c>
      <c r="I20" s="41" t="s">
        <v>31</v>
      </c>
      <c r="J20" s="111" t="s">
        <v>132</v>
      </c>
      <c r="K20" s="41" t="s">
        <v>249</v>
      </c>
      <c r="L20" s="41"/>
      <c r="M20" s="116">
        <v>15</v>
      </c>
      <c r="X20" s="41" t="s">
        <v>298</v>
      </c>
      <c r="Y20" s="41" t="s">
        <v>177</v>
      </c>
      <c r="Z20" s="39"/>
      <c r="AA20" s="39"/>
      <c r="AB20" s="39"/>
      <c r="AC20" s="39"/>
      <c r="AD20" s="39"/>
    </row>
    <row r="21" spans="1:30" ht="131.25" customHeight="1" thickTop="1">
      <c r="A21" s="200" t="s">
        <v>221</v>
      </c>
      <c r="B21" s="201"/>
      <c r="C21" s="201"/>
      <c r="D21" s="202"/>
    </row>
    <row r="22" spans="1:30" s="115" customFormat="1" ht="14">
      <c r="A22" s="42" t="s">
        <v>160</v>
      </c>
      <c r="B22" s="116" t="s">
        <v>324</v>
      </c>
      <c r="C22" s="43" t="s">
        <v>161</v>
      </c>
      <c r="D22" s="41" t="s">
        <v>162</v>
      </c>
      <c r="E22" s="41" t="s">
        <v>162</v>
      </c>
      <c r="G22" s="41" t="s">
        <v>299</v>
      </c>
      <c r="H22" s="115" t="s">
        <v>373</v>
      </c>
      <c r="I22" s="41" t="s">
        <v>31</v>
      </c>
      <c r="J22" s="111" t="s">
        <v>132</v>
      </c>
      <c r="K22" s="41"/>
      <c r="L22" s="41"/>
      <c r="M22" s="116"/>
      <c r="X22" s="41" t="s">
        <v>133</v>
      </c>
      <c r="Y22" s="41" t="s">
        <v>163</v>
      </c>
      <c r="Z22" s="39">
        <v>0.53200000000000003</v>
      </c>
      <c r="AA22" s="39">
        <v>2.48</v>
      </c>
      <c r="AB22" s="39">
        <v>800</v>
      </c>
      <c r="AC22" s="39">
        <v>115</v>
      </c>
      <c r="AD22" s="39">
        <v>115</v>
      </c>
    </row>
    <row r="23" spans="1:30" s="115" customFormat="1" ht="14">
      <c r="A23" s="41" t="s">
        <v>160</v>
      </c>
      <c r="B23" s="116" t="s">
        <v>325</v>
      </c>
      <c r="C23" s="43" t="s">
        <v>164</v>
      </c>
      <c r="D23" s="41" t="s">
        <v>165</v>
      </c>
      <c r="E23" s="41" t="s">
        <v>165</v>
      </c>
      <c r="G23" s="41" t="s">
        <v>300</v>
      </c>
      <c r="H23" s="115" t="s">
        <v>372</v>
      </c>
      <c r="I23" s="41" t="s">
        <v>31</v>
      </c>
      <c r="J23" s="111" t="s">
        <v>132</v>
      </c>
      <c r="K23" s="41"/>
      <c r="L23" s="41"/>
      <c r="M23" s="116"/>
      <c r="X23" s="41" t="s">
        <v>133</v>
      </c>
      <c r="Y23" s="41" t="s">
        <v>166</v>
      </c>
      <c r="Z23" s="39">
        <v>0.76900000000000002</v>
      </c>
      <c r="AA23" s="39">
        <v>2.92</v>
      </c>
      <c r="AB23" s="39">
        <v>1390</v>
      </c>
      <c r="AC23" s="39">
        <v>125</v>
      </c>
      <c r="AD23" s="39">
        <v>970</v>
      </c>
    </row>
    <row r="24" spans="1:30" s="115" customFormat="1" ht="14">
      <c r="A24" s="41" t="s">
        <v>160</v>
      </c>
      <c r="B24" s="116" t="s">
        <v>326</v>
      </c>
      <c r="C24" s="43" t="s">
        <v>167</v>
      </c>
      <c r="D24" s="41" t="s">
        <v>168</v>
      </c>
      <c r="E24" s="41" t="s">
        <v>168</v>
      </c>
      <c r="G24" s="41" t="s">
        <v>301</v>
      </c>
      <c r="H24" s="115" t="s">
        <v>372</v>
      </c>
      <c r="I24" s="41" t="s">
        <v>31</v>
      </c>
      <c r="J24" s="111" t="s">
        <v>132</v>
      </c>
      <c r="K24" s="41"/>
      <c r="L24" s="41"/>
      <c r="M24" s="116"/>
      <c r="X24" s="41" t="s">
        <v>133</v>
      </c>
      <c r="Y24" s="41" t="s">
        <v>166</v>
      </c>
      <c r="Z24" s="39">
        <v>0.53200000000000003</v>
      </c>
      <c r="AA24" s="39">
        <v>2.48</v>
      </c>
      <c r="AB24" s="39">
        <v>810</v>
      </c>
      <c r="AC24" s="39">
        <v>75</v>
      </c>
      <c r="AD24" s="39">
        <v>530</v>
      </c>
    </row>
    <row r="25" spans="1:30" s="115" customFormat="1" ht="14">
      <c r="A25" s="41" t="s">
        <v>160</v>
      </c>
      <c r="B25" s="116" t="s">
        <v>327</v>
      </c>
      <c r="C25" s="43" t="s">
        <v>169</v>
      </c>
      <c r="D25" s="41" t="s">
        <v>170</v>
      </c>
      <c r="E25" s="41" t="s">
        <v>170</v>
      </c>
      <c r="G25" s="41" t="s">
        <v>302</v>
      </c>
      <c r="H25" s="115" t="s">
        <v>372</v>
      </c>
      <c r="I25" s="41" t="s">
        <v>31</v>
      </c>
      <c r="J25" s="111" t="s">
        <v>132</v>
      </c>
      <c r="K25" s="41"/>
      <c r="L25" s="41"/>
      <c r="M25" s="116"/>
      <c r="X25" s="41" t="s">
        <v>133</v>
      </c>
      <c r="Y25" s="41" t="s">
        <v>166</v>
      </c>
      <c r="Z25" s="39">
        <v>0.76900000000000002</v>
      </c>
      <c r="AA25" s="39">
        <v>2.92</v>
      </c>
      <c r="AB25" s="39">
        <v>1050</v>
      </c>
      <c r="AC25" s="39">
        <v>115</v>
      </c>
      <c r="AD25" s="39">
        <v>735</v>
      </c>
    </row>
    <row r="26" spans="1:30" s="115" customFormat="1" ht="14">
      <c r="A26" s="41" t="s">
        <v>160</v>
      </c>
      <c r="B26" s="116" t="s">
        <v>328</v>
      </c>
      <c r="C26" s="43" t="s">
        <v>171</v>
      </c>
      <c r="D26" s="41" t="s">
        <v>172</v>
      </c>
      <c r="E26" s="41" t="s">
        <v>172</v>
      </c>
      <c r="G26" s="41" t="s">
        <v>303</v>
      </c>
      <c r="H26" s="115" t="s">
        <v>372</v>
      </c>
      <c r="I26" s="41" t="s">
        <v>31</v>
      </c>
      <c r="J26" s="111" t="s">
        <v>132</v>
      </c>
      <c r="K26" s="41"/>
      <c r="L26" s="41"/>
      <c r="M26" s="116"/>
      <c r="X26" s="41" t="s">
        <v>133</v>
      </c>
      <c r="Y26" s="41" t="s">
        <v>166</v>
      </c>
      <c r="Z26" s="39">
        <v>0.33800000000000002</v>
      </c>
      <c r="AA26" s="39">
        <v>2.44</v>
      </c>
      <c r="AB26" s="39">
        <v>900</v>
      </c>
      <c r="AC26" s="39">
        <v>90</v>
      </c>
      <c r="AD26" s="39">
        <v>420</v>
      </c>
    </row>
    <row r="27" spans="1:30" s="115" customFormat="1" ht="14">
      <c r="A27" s="41" t="s">
        <v>160</v>
      </c>
      <c r="B27" s="116" t="s">
        <v>329</v>
      </c>
      <c r="C27" s="43" t="s">
        <v>173</v>
      </c>
      <c r="D27" s="41" t="s">
        <v>174</v>
      </c>
      <c r="E27" s="41" t="s">
        <v>174</v>
      </c>
      <c r="G27" s="41" t="s">
        <v>304</v>
      </c>
      <c r="H27" s="115" t="s">
        <v>372</v>
      </c>
      <c r="I27" s="41" t="s">
        <v>31</v>
      </c>
      <c r="J27" s="111" t="s">
        <v>132</v>
      </c>
      <c r="K27" s="41"/>
      <c r="L27" s="41"/>
      <c r="M27" s="116"/>
      <c r="X27" s="41" t="s">
        <v>133</v>
      </c>
      <c r="Y27" s="41" t="s">
        <v>166</v>
      </c>
      <c r="Z27" s="39">
        <v>1.05</v>
      </c>
      <c r="AA27" s="39">
        <v>2.9</v>
      </c>
      <c r="AB27" s="39">
        <v>1540</v>
      </c>
      <c r="AC27" s="39">
        <v>135</v>
      </c>
      <c r="AD27" s="39">
        <v>1080</v>
      </c>
    </row>
    <row r="28" spans="1:30" s="115" customFormat="1" ht="14">
      <c r="A28" s="41" t="s">
        <v>160</v>
      </c>
      <c r="B28" s="116" t="s">
        <v>330</v>
      </c>
      <c r="C28" s="43" t="s">
        <v>175</v>
      </c>
      <c r="D28" s="41" t="s">
        <v>176</v>
      </c>
      <c r="E28" s="41" t="s">
        <v>176</v>
      </c>
      <c r="G28" s="41" t="s">
        <v>305</v>
      </c>
      <c r="H28" s="115" t="s">
        <v>372</v>
      </c>
      <c r="I28" s="41" t="s">
        <v>31</v>
      </c>
      <c r="J28" s="111" t="s">
        <v>132</v>
      </c>
      <c r="K28" s="41"/>
      <c r="L28" s="41"/>
      <c r="M28" s="116"/>
      <c r="X28" s="41" t="s">
        <v>133</v>
      </c>
      <c r="Y28" s="41" t="s">
        <v>177</v>
      </c>
      <c r="Z28" s="39">
        <v>1.05</v>
      </c>
      <c r="AA28" s="39">
        <v>2.9</v>
      </c>
      <c r="AB28" s="39">
        <v>1600</v>
      </c>
      <c r="AC28" s="39">
        <v>130</v>
      </c>
      <c r="AD28" s="39">
        <v>1120</v>
      </c>
    </row>
    <row r="29" spans="1:30" s="115" customFormat="1" ht="14">
      <c r="A29" s="41" t="s">
        <v>160</v>
      </c>
      <c r="B29" s="116" t="s">
        <v>330</v>
      </c>
      <c r="C29" s="43" t="s">
        <v>175</v>
      </c>
      <c r="D29" s="41" t="s">
        <v>176</v>
      </c>
      <c r="E29" s="41" t="s">
        <v>176</v>
      </c>
      <c r="G29" s="41" t="s">
        <v>306</v>
      </c>
      <c r="I29" s="41" t="s">
        <v>31</v>
      </c>
      <c r="J29" s="111" t="s">
        <v>132</v>
      </c>
      <c r="K29" s="41"/>
      <c r="L29" s="41"/>
      <c r="M29" s="116"/>
      <c r="X29" s="41" t="s">
        <v>298</v>
      </c>
      <c r="Y29" s="41" t="s">
        <v>177</v>
      </c>
      <c r="Z29" s="39"/>
      <c r="AA29" s="39"/>
      <c r="AB29" s="39"/>
      <c r="AC29" s="39"/>
      <c r="AD29" s="39"/>
    </row>
    <row r="30" spans="1:30" s="115" customFormat="1" ht="14">
      <c r="A30" s="41" t="s">
        <v>160</v>
      </c>
      <c r="B30" s="116" t="s">
        <v>331</v>
      </c>
      <c r="C30" s="43" t="s">
        <v>178</v>
      </c>
      <c r="D30" s="41" t="s">
        <v>179</v>
      </c>
      <c r="E30" s="41" t="s">
        <v>179</v>
      </c>
      <c r="G30" s="41" t="s">
        <v>374</v>
      </c>
      <c r="H30" s="115" t="s">
        <v>372</v>
      </c>
      <c r="I30" s="41" t="s">
        <v>31</v>
      </c>
      <c r="J30" s="111" t="s">
        <v>132</v>
      </c>
      <c r="K30" s="41"/>
      <c r="L30" s="41"/>
      <c r="M30" s="116"/>
      <c r="X30" s="41" t="s">
        <v>133</v>
      </c>
      <c r="Y30" s="41" t="s">
        <v>177</v>
      </c>
      <c r="Z30" s="39">
        <v>0.33800000000000002</v>
      </c>
      <c r="AA30" s="39">
        <v>2.44</v>
      </c>
      <c r="AB30" s="39">
        <v>570</v>
      </c>
      <c r="AC30" s="39">
        <v>90</v>
      </c>
      <c r="AD30" s="39">
        <v>400</v>
      </c>
    </row>
    <row r="31" spans="1:30" s="115" customFormat="1" ht="14">
      <c r="A31" s="41" t="s">
        <v>160</v>
      </c>
      <c r="B31" s="116" t="s">
        <v>331</v>
      </c>
      <c r="C31" s="43" t="s">
        <v>178</v>
      </c>
      <c r="D31" s="41" t="s">
        <v>179</v>
      </c>
      <c r="E31" s="41" t="s">
        <v>179</v>
      </c>
      <c r="G31" s="41" t="s">
        <v>308</v>
      </c>
      <c r="I31" s="41" t="s">
        <v>31</v>
      </c>
      <c r="J31" s="111" t="s">
        <v>132</v>
      </c>
      <c r="K31" s="41"/>
      <c r="L31" s="41"/>
      <c r="M31" s="116"/>
      <c r="X31" s="41" t="s">
        <v>298</v>
      </c>
      <c r="Y31" s="41" t="s">
        <v>177</v>
      </c>
      <c r="Z31" s="39"/>
      <c r="AA31" s="39"/>
      <c r="AB31" s="39"/>
      <c r="AC31" s="39"/>
      <c r="AD31" s="39"/>
    </row>
    <row r="32" spans="1:30" s="115" customFormat="1" ht="14">
      <c r="A32" s="41" t="s">
        <v>160</v>
      </c>
      <c r="B32" s="116" t="s">
        <v>318</v>
      </c>
      <c r="C32" s="43" t="s">
        <v>180</v>
      </c>
      <c r="D32" s="41" t="s">
        <v>181</v>
      </c>
      <c r="E32" s="41" t="s">
        <v>181</v>
      </c>
      <c r="G32" s="41" t="s">
        <v>309</v>
      </c>
      <c r="H32" s="115" t="s">
        <v>372</v>
      </c>
      <c r="I32" s="41" t="s">
        <v>31</v>
      </c>
      <c r="J32" s="111" t="s">
        <v>132</v>
      </c>
      <c r="K32" s="41"/>
      <c r="L32" s="41"/>
      <c r="M32" s="116"/>
      <c r="X32" s="41" t="s">
        <v>133</v>
      </c>
      <c r="Y32" s="41" t="s">
        <v>166</v>
      </c>
      <c r="Z32" s="39">
        <v>1.05</v>
      </c>
      <c r="AA32" s="39">
        <v>2.9</v>
      </c>
      <c r="AB32" s="39">
        <v>1860</v>
      </c>
      <c r="AC32" s="39">
        <v>145</v>
      </c>
      <c r="AD32" s="39">
        <v>1300</v>
      </c>
    </row>
    <row r="33" spans="1:30" s="115" customFormat="1" ht="14">
      <c r="A33" s="41" t="s">
        <v>160</v>
      </c>
      <c r="B33" s="116" t="s">
        <v>319</v>
      </c>
      <c r="C33" s="43" t="s">
        <v>182</v>
      </c>
      <c r="D33" s="41" t="s">
        <v>183</v>
      </c>
      <c r="E33" s="41" t="s">
        <v>183</v>
      </c>
      <c r="G33" s="41" t="s">
        <v>310</v>
      </c>
      <c r="H33" s="115" t="s">
        <v>372</v>
      </c>
      <c r="I33" s="41" t="s">
        <v>31</v>
      </c>
      <c r="J33" s="111" t="s">
        <v>132</v>
      </c>
      <c r="K33" s="41"/>
      <c r="L33" s="41"/>
      <c r="M33" s="116"/>
      <c r="X33" s="41" t="s">
        <v>133</v>
      </c>
      <c r="Y33" s="41" t="s">
        <v>166</v>
      </c>
      <c r="Z33" s="39">
        <v>0.76900000000000002</v>
      </c>
      <c r="AA33" s="39">
        <v>2.92</v>
      </c>
      <c r="AB33" s="39">
        <v>1350</v>
      </c>
      <c r="AC33" s="39">
        <v>115</v>
      </c>
      <c r="AD33" s="39">
        <v>990</v>
      </c>
    </row>
    <row r="34" spans="1:30" s="115" customFormat="1" ht="14">
      <c r="A34" s="41" t="s">
        <v>160</v>
      </c>
      <c r="B34" s="116" t="s">
        <v>320</v>
      </c>
      <c r="C34" s="43" t="s">
        <v>184</v>
      </c>
      <c r="D34" s="41" t="s">
        <v>185</v>
      </c>
      <c r="E34" s="41" t="s">
        <v>185</v>
      </c>
      <c r="G34" s="41" t="s">
        <v>311</v>
      </c>
      <c r="H34" s="115" t="s">
        <v>372</v>
      </c>
      <c r="I34" s="41" t="s">
        <v>31</v>
      </c>
      <c r="J34" s="111" t="s">
        <v>132</v>
      </c>
      <c r="K34" s="41"/>
      <c r="L34" s="41"/>
      <c r="M34" s="116"/>
      <c r="X34" s="41" t="s">
        <v>133</v>
      </c>
      <c r="Y34" s="41" t="s">
        <v>166</v>
      </c>
      <c r="Z34" s="39">
        <v>1.05</v>
      </c>
      <c r="AA34" s="39">
        <v>2.9</v>
      </c>
      <c r="AB34" s="39">
        <v>1650</v>
      </c>
      <c r="AC34" s="39">
        <v>125</v>
      </c>
      <c r="AD34" s="39">
        <v>1155</v>
      </c>
    </row>
    <row r="35" spans="1:30" s="115" customFormat="1" ht="14">
      <c r="A35" s="41" t="s">
        <v>160</v>
      </c>
      <c r="B35" s="116" t="s">
        <v>321</v>
      </c>
      <c r="C35" s="43" t="s">
        <v>186</v>
      </c>
      <c r="D35" s="41" t="s">
        <v>187</v>
      </c>
      <c r="E35" s="41" t="s">
        <v>187</v>
      </c>
      <c r="G35" s="41" t="s">
        <v>312</v>
      </c>
      <c r="H35" s="115" t="s">
        <v>372</v>
      </c>
      <c r="I35" s="41" t="s">
        <v>31</v>
      </c>
      <c r="J35" s="111" t="s">
        <v>132</v>
      </c>
      <c r="K35" s="41"/>
      <c r="L35" s="41"/>
      <c r="M35" s="116"/>
      <c r="X35" s="41" t="s">
        <v>133</v>
      </c>
      <c r="Y35" s="41" t="s">
        <v>166</v>
      </c>
      <c r="Z35" s="39">
        <v>1.05</v>
      </c>
      <c r="AA35" s="39">
        <v>2.9</v>
      </c>
      <c r="AB35" s="39">
        <v>1650</v>
      </c>
      <c r="AC35" s="39">
        <v>135</v>
      </c>
      <c r="AD35" s="39">
        <v>1200</v>
      </c>
    </row>
    <row r="36" spans="1:30" s="115" customFormat="1" ht="14">
      <c r="A36" s="41" t="s">
        <v>160</v>
      </c>
      <c r="B36" s="116" t="s">
        <v>322</v>
      </c>
      <c r="C36" s="43" t="s">
        <v>188</v>
      </c>
      <c r="D36" s="41" t="s">
        <v>189</v>
      </c>
      <c r="E36" s="41" t="s">
        <v>189</v>
      </c>
      <c r="G36" s="41" t="s">
        <v>313</v>
      </c>
      <c r="H36" s="115" t="s">
        <v>372</v>
      </c>
      <c r="I36" s="41" t="s">
        <v>31</v>
      </c>
      <c r="J36" s="111" t="s">
        <v>132</v>
      </c>
      <c r="K36" s="41"/>
      <c r="L36" s="41"/>
      <c r="M36" s="116"/>
      <c r="X36" s="41" t="s">
        <v>133</v>
      </c>
      <c r="Y36" s="41" t="s">
        <v>166</v>
      </c>
      <c r="Z36" s="39">
        <v>0.53200000000000003</v>
      </c>
      <c r="AA36" s="39">
        <v>2.48</v>
      </c>
      <c r="AB36" s="39">
        <v>800</v>
      </c>
      <c r="AC36" s="39">
        <v>105</v>
      </c>
      <c r="AD36" s="39">
        <v>700</v>
      </c>
    </row>
    <row r="37" spans="1:30" s="115" customFormat="1" ht="14">
      <c r="A37" s="41" t="s">
        <v>160</v>
      </c>
      <c r="B37" s="116" t="s">
        <v>323</v>
      </c>
      <c r="C37" s="43" t="s">
        <v>190</v>
      </c>
      <c r="D37" s="41" t="s">
        <v>191</v>
      </c>
      <c r="E37" s="41" t="s">
        <v>192</v>
      </c>
      <c r="G37" s="41" t="s">
        <v>314</v>
      </c>
      <c r="H37" s="115" t="s">
        <v>317</v>
      </c>
      <c r="I37" s="41" t="s">
        <v>31</v>
      </c>
      <c r="J37" s="111" t="s">
        <v>132</v>
      </c>
      <c r="K37" s="41"/>
      <c r="L37" s="41"/>
      <c r="M37" s="116"/>
      <c r="X37" s="41" t="s">
        <v>133</v>
      </c>
      <c r="Y37" s="41" t="s">
        <v>163</v>
      </c>
      <c r="Z37" s="39">
        <v>0.53200000000000003</v>
      </c>
      <c r="AA37" s="39">
        <v>2.48</v>
      </c>
      <c r="AB37" s="39">
        <v>800</v>
      </c>
      <c r="AC37" s="39">
        <v>110</v>
      </c>
      <c r="AD37" s="39">
        <v>460</v>
      </c>
    </row>
    <row r="38" spans="1:30" s="115" customFormat="1" ht="14">
      <c r="A38" s="42" t="s">
        <v>193</v>
      </c>
      <c r="B38" s="116" t="s">
        <v>332</v>
      </c>
      <c r="C38" s="41" t="s">
        <v>194</v>
      </c>
      <c r="D38" s="41" t="s">
        <v>195</v>
      </c>
      <c r="E38" s="41" t="s">
        <v>195</v>
      </c>
      <c r="G38" s="41" t="s">
        <v>315</v>
      </c>
      <c r="H38" s="115" t="s">
        <v>372</v>
      </c>
      <c r="I38" s="41" t="s">
        <v>31</v>
      </c>
      <c r="J38" s="111" t="s">
        <v>132</v>
      </c>
      <c r="K38" s="41"/>
      <c r="L38" s="41"/>
      <c r="M38" s="116"/>
      <c r="X38" s="41" t="s">
        <v>133</v>
      </c>
      <c r="Y38" s="41" t="s">
        <v>166</v>
      </c>
      <c r="Z38" s="39">
        <v>1.05</v>
      </c>
      <c r="AA38" s="39">
        <v>2.9</v>
      </c>
      <c r="AB38" s="39">
        <v>1520</v>
      </c>
      <c r="AC38" s="39">
        <v>130</v>
      </c>
      <c r="AD38" s="39">
        <v>1065</v>
      </c>
    </row>
    <row r="39" spans="1:30" s="115" customFormat="1" ht="14">
      <c r="A39" s="41" t="s">
        <v>193</v>
      </c>
      <c r="B39" s="116" t="s">
        <v>333</v>
      </c>
      <c r="C39" s="41" t="s">
        <v>167</v>
      </c>
      <c r="D39" s="41" t="s">
        <v>165</v>
      </c>
      <c r="E39" s="41" t="s">
        <v>165</v>
      </c>
      <c r="G39" s="41" t="s">
        <v>316</v>
      </c>
      <c r="H39" s="115" t="s">
        <v>372</v>
      </c>
      <c r="I39" s="41" t="s">
        <v>31</v>
      </c>
      <c r="J39" s="111" t="s">
        <v>132</v>
      </c>
      <c r="K39" s="41"/>
      <c r="L39" s="41"/>
      <c r="M39" s="116"/>
      <c r="X39" s="41" t="s">
        <v>133</v>
      </c>
      <c r="Y39" s="41" t="s">
        <v>166</v>
      </c>
      <c r="Z39" s="39">
        <v>1.05</v>
      </c>
      <c r="AA39" s="39">
        <v>2.9</v>
      </c>
      <c r="AB39" s="39">
        <v>1500</v>
      </c>
      <c r="AC39" s="39">
        <v>125</v>
      </c>
      <c r="AD39" s="39">
        <v>1050</v>
      </c>
    </row>
    <row r="40" spans="1:30" s="115" customFormat="1" ht="14">
      <c r="A40" s="41" t="s">
        <v>193</v>
      </c>
      <c r="B40" s="116" t="s">
        <v>334</v>
      </c>
      <c r="C40" s="43" t="s">
        <v>169</v>
      </c>
      <c r="D40" s="41" t="s">
        <v>168</v>
      </c>
      <c r="E40" s="41" t="s">
        <v>168</v>
      </c>
      <c r="G40" s="41" t="s">
        <v>301</v>
      </c>
      <c r="H40" s="115" t="s">
        <v>372</v>
      </c>
      <c r="I40" s="41" t="s">
        <v>31</v>
      </c>
      <c r="J40" s="111" t="s">
        <v>132</v>
      </c>
      <c r="K40" s="41"/>
      <c r="L40" s="41"/>
      <c r="M40" s="116"/>
      <c r="X40" s="41" t="s">
        <v>133</v>
      </c>
      <c r="Y40" s="41" t="s">
        <v>166</v>
      </c>
      <c r="Z40" s="39">
        <v>1.375</v>
      </c>
      <c r="AA40" s="39">
        <v>2.69</v>
      </c>
      <c r="AB40" s="39">
        <v>2100</v>
      </c>
      <c r="AC40" s="39">
        <v>155</v>
      </c>
      <c r="AD40" s="39">
        <v>1400</v>
      </c>
    </row>
    <row r="41" spans="1:30" s="115" customFormat="1" ht="14">
      <c r="A41" s="41" t="s">
        <v>193</v>
      </c>
      <c r="B41" s="116" t="s">
        <v>334</v>
      </c>
      <c r="C41" s="43" t="s">
        <v>376</v>
      </c>
      <c r="D41" s="41" t="s">
        <v>170</v>
      </c>
      <c r="E41" s="41" t="s">
        <v>170</v>
      </c>
      <c r="G41" s="41" t="s">
        <v>302</v>
      </c>
      <c r="H41" s="115" t="s">
        <v>372</v>
      </c>
      <c r="I41" s="41" t="s">
        <v>31</v>
      </c>
      <c r="J41" s="111" t="s">
        <v>132</v>
      </c>
      <c r="K41" s="41"/>
      <c r="L41" s="41"/>
      <c r="M41" s="116"/>
      <c r="X41" s="41" t="s">
        <v>133</v>
      </c>
      <c r="Y41" s="41" t="s">
        <v>166</v>
      </c>
      <c r="Z41" s="39">
        <v>1.375</v>
      </c>
      <c r="AA41" s="39">
        <v>2.69</v>
      </c>
      <c r="AB41" s="39">
        <v>2100</v>
      </c>
      <c r="AC41" s="39">
        <v>155</v>
      </c>
      <c r="AD41" s="39">
        <v>1400</v>
      </c>
    </row>
  </sheetData>
  <mergeCells count="11">
    <mergeCell ref="A13:D13"/>
    <mergeCell ref="A21:D21"/>
    <mergeCell ref="A3:C3"/>
    <mergeCell ref="D3:I3"/>
    <mergeCell ref="J3:W3"/>
    <mergeCell ref="X3:Y3"/>
    <mergeCell ref="Z3:AI3"/>
    <mergeCell ref="A5:C5"/>
    <mergeCell ref="A6:C6"/>
    <mergeCell ref="A7:D7"/>
    <mergeCell ref="A10:D10"/>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82E1-157F-1D41-8E5A-34CD9150B22A}">
  <dimension ref="A1:AI41"/>
  <sheetViews>
    <sheetView zoomScale="90" zoomScaleNormal="90" workbookViewId="0">
      <pane xSplit="4" ySplit="6" topLeftCell="E7" activePane="bottomRight" state="frozen"/>
      <selection pane="topRight" activeCell="E1" sqref="E1"/>
      <selection pane="bottomLeft" activeCell="A7" sqref="A7"/>
      <selection pane="bottomRight" activeCell="E7" sqref="E7"/>
    </sheetView>
  </sheetViews>
  <sheetFormatPr baseColWidth="10" defaultRowHeight="15"/>
  <cols>
    <col min="1" max="1" width="27.5" bestFit="1" customWidth="1"/>
    <col min="2" max="2" width="15.6640625" bestFit="1" customWidth="1"/>
    <col min="3" max="3" width="32.1640625" customWidth="1"/>
    <col min="4" max="4" width="22.5" customWidth="1"/>
    <col min="5" max="5" width="24.33203125" bestFit="1" customWidth="1"/>
    <col min="6" max="6" width="18.5" bestFit="1" customWidth="1"/>
    <col min="7" max="7" width="22.5" bestFit="1" customWidth="1"/>
    <col min="8" max="8" width="44.5" customWidth="1"/>
    <col min="9" max="9" width="21.5" customWidth="1"/>
    <col min="10" max="10" width="13.5" customWidth="1"/>
    <col min="11" max="11" width="16.1640625" bestFit="1" customWidth="1"/>
    <col min="12" max="12" width="16" hidden="1" customWidth="1"/>
    <col min="13" max="13" width="16.83203125" hidden="1" customWidth="1"/>
    <col min="14" max="14" width="16.5" hidden="1" customWidth="1"/>
    <col min="15" max="15" width="15" hidden="1" customWidth="1"/>
    <col min="16" max="16" width="16.83203125" hidden="1" customWidth="1"/>
    <col min="17" max="17" width="15.5" hidden="1" customWidth="1"/>
    <col min="18" max="20" width="10.6640625" hidden="1" customWidth="1"/>
    <col min="21" max="21" width="17.5" hidden="1" customWidth="1"/>
    <col min="22" max="22" width="16.83203125" hidden="1" customWidth="1"/>
    <col min="23" max="23" width="13.5" hidden="1" customWidth="1"/>
    <col min="24" max="24" width="22.5" bestFit="1" customWidth="1"/>
    <col min="25" max="25" width="20" bestFit="1" customWidth="1"/>
    <col min="26" max="26" width="10.6640625" bestFit="1" customWidth="1"/>
    <col min="27" max="27" width="13.5" bestFit="1" customWidth="1"/>
    <col min="28" max="256" width="8.83203125" customWidth="1"/>
  </cols>
  <sheetData>
    <row r="1" spans="1:35" s="102" customFormat="1" ht="14">
      <c r="A1" s="102" t="s">
        <v>251</v>
      </c>
      <c r="B1" s="102" t="s">
        <v>253</v>
      </c>
      <c r="C1" s="102" t="s">
        <v>254</v>
      </c>
      <c r="D1" s="102" t="s">
        <v>252</v>
      </c>
      <c r="E1" s="102" t="s">
        <v>259</v>
      </c>
      <c r="F1" s="102" t="s">
        <v>277</v>
      </c>
      <c r="G1" s="102" t="s">
        <v>278</v>
      </c>
      <c r="H1" s="102" t="s">
        <v>260</v>
      </c>
      <c r="I1" s="102" t="s">
        <v>261</v>
      </c>
      <c r="J1" s="102" t="s">
        <v>262</v>
      </c>
      <c r="K1" s="102" t="s">
        <v>263</v>
      </c>
      <c r="L1" s="102" t="s">
        <v>264</v>
      </c>
      <c r="M1" s="102" t="s">
        <v>265</v>
      </c>
      <c r="N1" s="102" t="s">
        <v>266</v>
      </c>
      <c r="O1" s="102" t="s">
        <v>267</v>
      </c>
      <c r="P1" s="102" t="s">
        <v>268</v>
      </c>
      <c r="Q1" s="102" t="s">
        <v>281</v>
      </c>
      <c r="R1" s="102" t="s">
        <v>269</v>
      </c>
      <c r="S1" s="102" t="s">
        <v>270</v>
      </c>
      <c r="T1" s="102" t="s">
        <v>271</v>
      </c>
      <c r="U1" s="102" t="s">
        <v>272</v>
      </c>
      <c r="V1" s="102" t="s">
        <v>273</v>
      </c>
      <c r="W1" s="102" t="s">
        <v>255</v>
      </c>
      <c r="X1" s="102" t="s">
        <v>256</v>
      </c>
      <c r="Y1" s="102" t="s">
        <v>257</v>
      </c>
      <c r="Z1" s="102" t="s">
        <v>258</v>
      </c>
    </row>
    <row r="2" spans="1:35" s="102" customFormat="1" ht="14">
      <c r="A2" s="102" t="s">
        <v>413</v>
      </c>
      <c r="Z2" s="103"/>
      <c r="AA2" s="104"/>
      <c r="AB2" s="104"/>
      <c r="AC2" s="104"/>
      <c r="AD2" s="104"/>
      <c r="AE2" s="104"/>
      <c r="AF2" s="104"/>
      <c r="AG2" s="104"/>
      <c r="AH2" s="104"/>
      <c r="AI2" s="105"/>
    </row>
    <row r="3" spans="1:35" s="55" customFormat="1" ht="16">
      <c r="A3" s="168" t="s">
        <v>1</v>
      </c>
      <c r="B3" s="168"/>
      <c r="C3" s="168"/>
      <c r="D3" s="171" t="s">
        <v>5</v>
      </c>
      <c r="E3" s="171"/>
      <c r="F3" s="171"/>
      <c r="G3" s="171"/>
      <c r="H3" s="171"/>
      <c r="I3" s="171"/>
      <c r="J3" s="170" t="s">
        <v>400</v>
      </c>
      <c r="K3" s="170"/>
      <c r="L3" s="170"/>
      <c r="M3" s="170"/>
      <c r="N3" s="170"/>
      <c r="O3" s="170"/>
      <c r="P3" s="170"/>
      <c r="Q3" s="170"/>
      <c r="R3" s="170"/>
      <c r="S3" s="170"/>
      <c r="T3" s="170"/>
      <c r="U3" s="170"/>
      <c r="V3" s="170"/>
      <c r="W3" s="170"/>
      <c r="X3" s="169" t="s">
        <v>26</v>
      </c>
      <c r="Y3" s="169"/>
      <c r="Z3" s="164" t="s">
        <v>34</v>
      </c>
      <c r="AA3" s="165"/>
      <c r="AB3" s="165"/>
      <c r="AC3" s="165"/>
      <c r="AD3" s="165"/>
      <c r="AE3" s="165"/>
      <c r="AF3" s="165"/>
      <c r="AG3" s="165"/>
      <c r="AH3" s="165"/>
      <c r="AI3" s="166"/>
    </row>
    <row r="4" spans="1:35" s="56" customFormat="1" ht="45">
      <c r="A4" s="59" t="s">
        <v>204</v>
      </c>
      <c r="B4" s="59" t="s">
        <v>136</v>
      </c>
      <c r="C4" s="59" t="s">
        <v>203</v>
      </c>
      <c r="D4" s="60" t="s">
        <v>397</v>
      </c>
      <c r="E4" s="61" t="s">
        <v>396</v>
      </c>
      <c r="F4" s="61" t="s">
        <v>395</v>
      </c>
      <c r="G4" s="61" t="s">
        <v>283</v>
      </c>
      <c r="H4" s="60" t="s">
        <v>284</v>
      </c>
      <c r="I4" s="60" t="s">
        <v>285</v>
      </c>
      <c r="J4" s="62" t="s">
        <v>398</v>
      </c>
      <c r="K4" s="62" t="s">
        <v>399</v>
      </c>
      <c r="L4" s="62" t="s">
        <v>139</v>
      </c>
      <c r="M4" s="62" t="s">
        <v>219</v>
      </c>
      <c r="N4" s="62" t="s">
        <v>20</v>
      </c>
      <c r="O4" s="62" t="s">
        <v>21</v>
      </c>
      <c r="P4" s="62" t="s">
        <v>30</v>
      </c>
      <c r="Q4" s="62" t="s">
        <v>280</v>
      </c>
      <c r="R4" s="62" t="s">
        <v>28</v>
      </c>
      <c r="S4" s="62" t="s">
        <v>29</v>
      </c>
      <c r="T4" s="62" t="s">
        <v>33</v>
      </c>
      <c r="U4" s="62" t="s">
        <v>134</v>
      </c>
      <c r="V4" s="62" t="s">
        <v>140</v>
      </c>
      <c r="W4" s="62" t="s">
        <v>286</v>
      </c>
      <c r="X4" s="63" t="s">
        <v>393</v>
      </c>
      <c r="Y4" s="63" t="s">
        <v>394</v>
      </c>
    </row>
    <row r="5" spans="1:35" s="57" customFormat="1">
      <c r="A5" s="167"/>
      <c r="B5" s="167"/>
      <c r="C5" s="167"/>
      <c r="D5" s="64" t="s">
        <v>10</v>
      </c>
      <c r="E5" s="64"/>
      <c r="F5" s="64"/>
      <c r="G5" s="64"/>
      <c r="H5" s="64"/>
      <c r="I5" s="64"/>
      <c r="J5" s="64"/>
      <c r="K5" s="64"/>
      <c r="L5" s="64"/>
      <c r="M5" s="64"/>
      <c r="N5" s="64"/>
      <c r="O5" s="64"/>
      <c r="P5" s="64"/>
      <c r="Q5" s="64"/>
      <c r="R5" s="64"/>
      <c r="S5" s="64"/>
      <c r="T5" s="64"/>
      <c r="U5" s="64"/>
      <c r="V5" s="64"/>
      <c r="W5" s="64"/>
      <c r="X5" s="64"/>
      <c r="Y5" s="64"/>
    </row>
    <row r="6" spans="1:35" s="57" customFormat="1" ht="16" thickBot="1">
      <c r="A6" s="167"/>
      <c r="B6" s="167"/>
      <c r="C6" s="167"/>
      <c r="D6" s="64" t="s">
        <v>11</v>
      </c>
      <c r="E6" s="64"/>
      <c r="F6" s="64"/>
      <c r="G6" s="64"/>
      <c r="H6" s="64"/>
      <c r="I6" s="64"/>
      <c r="J6" s="64"/>
      <c r="K6" s="64"/>
      <c r="L6" s="64"/>
      <c r="M6" s="64"/>
      <c r="N6" s="64"/>
      <c r="O6" s="64"/>
      <c r="P6" s="64"/>
      <c r="Q6" s="64"/>
      <c r="R6" s="64"/>
      <c r="S6" s="64"/>
      <c r="T6" s="64"/>
      <c r="U6" s="64"/>
      <c r="V6" s="64"/>
      <c r="W6" s="64"/>
      <c r="X6" s="64"/>
      <c r="Y6" s="64"/>
    </row>
    <row r="7" spans="1:35" ht="174.75" customHeight="1" thickTop="1">
      <c r="A7" s="203" t="s">
        <v>205</v>
      </c>
      <c r="B7" s="204"/>
      <c r="C7" s="204"/>
      <c r="D7" s="205"/>
    </row>
    <row r="8" spans="1:35" s="115" customFormat="1" ht="14">
      <c r="A8" s="40" t="s">
        <v>151</v>
      </c>
      <c r="B8" s="40"/>
      <c r="C8" s="40" t="s">
        <v>152</v>
      </c>
      <c r="D8" s="40" t="s">
        <v>335</v>
      </c>
      <c r="E8" s="40" t="s">
        <v>153</v>
      </c>
      <c r="F8" s="40"/>
      <c r="G8" s="118" t="s">
        <v>153</v>
      </c>
      <c r="I8" s="40" t="s">
        <v>154</v>
      </c>
      <c r="J8" s="110" t="s">
        <v>197</v>
      </c>
      <c r="K8" s="41" t="s">
        <v>249</v>
      </c>
      <c r="M8" s="117">
        <v>4</v>
      </c>
      <c r="X8" s="40" t="s">
        <v>199</v>
      </c>
      <c r="Y8" s="40"/>
    </row>
    <row r="9" spans="1:35" s="115" customFormat="1" ht="14">
      <c r="A9" s="40" t="s">
        <v>151</v>
      </c>
      <c r="B9" s="40"/>
      <c r="C9" s="40" t="s">
        <v>152</v>
      </c>
      <c r="D9" s="40" t="s">
        <v>296</v>
      </c>
      <c r="E9" s="40" t="s">
        <v>155</v>
      </c>
      <c r="F9" s="40"/>
      <c r="G9" s="114" t="s">
        <v>155</v>
      </c>
      <c r="I9" s="40" t="s">
        <v>291</v>
      </c>
      <c r="J9" s="110" t="s">
        <v>197</v>
      </c>
      <c r="K9" s="41" t="s">
        <v>249</v>
      </c>
      <c r="M9" s="117">
        <v>5</v>
      </c>
      <c r="X9" s="40" t="s">
        <v>201</v>
      </c>
      <c r="Y9" s="40"/>
    </row>
    <row r="10" spans="1:35" ht="152.25" customHeight="1">
      <c r="A10" s="206" t="s">
        <v>206</v>
      </c>
      <c r="B10" s="207"/>
      <c r="C10" s="207"/>
      <c r="D10" s="208"/>
    </row>
    <row r="11" spans="1:35" s="115" customFormat="1" ht="14">
      <c r="A11" s="41" t="s">
        <v>156</v>
      </c>
      <c r="B11" s="40"/>
      <c r="C11" s="40" t="s">
        <v>157</v>
      </c>
      <c r="D11" s="40" t="s">
        <v>294</v>
      </c>
      <c r="E11" s="40" t="s">
        <v>294</v>
      </c>
      <c r="G11" s="115" t="s">
        <v>292</v>
      </c>
      <c r="H11" s="40" t="s">
        <v>371</v>
      </c>
      <c r="I11" s="40" t="s">
        <v>291</v>
      </c>
      <c r="J11" s="111" t="s">
        <v>132</v>
      </c>
      <c r="K11" s="41" t="s">
        <v>249</v>
      </c>
      <c r="L11" s="40"/>
      <c r="M11" s="117">
        <v>6</v>
      </c>
      <c r="X11" s="40" t="s">
        <v>297</v>
      </c>
      <c r="Y11" s="40"/>
    </row>
    <row r="12" spans="1:35" s="115" customFormat="1" ht="14">
      <c r="A12" s="41" t="s">
        <v>156</v>
      </c>
      <c r="B12" s="40"/>
      <c r="C12" s="40" t="s">
        <v>159</v>
      </c>
      <c r="D12" s="40" t="s">
        <v>295</v>
      </c>
      <c r="E12" s="40" t="s">
        <v>295</v>
      </c>
      <c r="G12" s="115" t="s">
        <v>293</v>
      </c>
      <c r="H12" s="40" t="s">
        <v>371</v>
      </c>
      <c r="I12" s="40" t="s">
        <v>291</v>
      </c>
      <c r="J12" s="111" t="s">
        <v>132</v>
      </c>
      <c r="K12" s="41" t="s">
        <v>250</v>
      </c>
      <c r="L12" s="40"/>
      <c r="M12" s="117">
        <v>6</v>
      </c>
      <c r="X12" s="40" t="s">
        <v>297</v>
      </c>
      <c r="Y12" s="40"/>
    </row>
    <row r="13" spans="1:35" ht="125.25" customHeight="1">
      <c r="A13" s="206" t="s">
        <v>220</v>
      </c>
      <c r="B13" s="207"/>
      <c r="C13" s="207"/>
      <c r="D13" s="208"/>
    </row>
    <row r="14" spans="1:35" s="115" customFormat="1" ht="14">
      <c r="A14" s="41" t="s">
        <v>160</v>
      </c>
      <c r="B14" s="116" t="s">
        <v>327</v>
      </c>
      <c r="C14" s="43" t="s">
        <v>169</v>
      </c>
      <c r="D14" s="41" t="s">
        <v>170</v>
      </c>
      <c r="E14" s="41" t="s">
        <v>170</v>
      </c>
      <c r="G14" s="41" t="s">
        <v>302</v>
      </c>
      <c r="H14" s="115" t="s">
        <v>372</v>
      </c>
      <c r="I14" s="41" t="s">
        <v>31</v>
      </c>
      <c r="J14" s="111" t="s">
        <v>132</v>
      </c>
      <c r="K14" s="41" t="s">
        <v>249</v>
      </c>
      <c r="L14" s="41"/>
      <c r="M14" s="116">
        <v>11</v>
      </c>
      <c r="X14" s="41" t="s">
        <v>133</v>
      </c>
      <c r="Y14" s="41"/>
      <c r="Z14" s="39"/>
      <c r="AA14" s="39"/>
      <c r="AB14" s="39"/>
      <c r="AC14" s="39"/>
      <c r="AD14" s="39"/>
    </row>
    <row r="15" spans="1:35" s="115" customFormat="1" ht="14">
      <c r="A15" s="41" t="s">
        <v>160</v>
      </c>
      <c r="B15" s="116" t="s">
        <v>328</v>
      </c>
      <c r="C15" s="43" t="s">
        <v>171</v>
      </c>
      <c r="D15" s="41" t="s">
        <v>172</v>
      </c>
      <c r="E15" s="41" t="s">
        <v>172</v>
      </c>
      <c r="G15" s="41" t="s">
        <v>303</v>
      </c>
      <c r="H15" s="115" t="s">
        <v>372</v>
      </c>
      <c r="I15" s="41" t="s">
        <v>31</v>
      </c>
      <c r="J15" s="111" t="s">
        <v>132</v>
      </c>
      <c r="K15" s="41" t="s">
        <v>249</v>
      </c>
      <c r="L15" s="41"/>
      <c r="M15" s="116">
        <v>12</v>
      </c>
      <c r="X15" s="41" t="s">
        <v>133</v>
      </c>
      <c r="Y15" s="41"/>
      <c r="Z15" s="39"/>
      <c r="AA15" s="39"/>
      <c r="AB15" s="39"/>
      <c r="AC15" s="39"/>
      <c r="AD15" s="39"/>
    </row>
    <row r="16" spans="1:35" s="115" customFormat="1" ht="14">
      <c r="A16" s="41" t="s">
        <v>160</v>
      </c>
      <c r="B16" s="116" t="s">
        <v>329</v>
      </c>
      <c r="C16" s="43" t="s">
        <v>173</v>
      </c>
      <c r="D16" s="41" t="s">
        <v>174</v>
      </c>
      <c r="E16" s="41" t="s">
        <v>174</v>
      </c>
      <c r="G16" s="41" t="s">
        <v>304</v>
      </c>
      <c r="H16" s="115" t="s">
        <v>372</v>
      </c>
      <c r="I16" s="41" t="s">
        <v>31</v>
      </c>
      <c r="J16" s="111" t="s">
        <v>132</v>
      </c>
      <c r="K16" s="41" t="s">
        <v>249</v>
      </c>
      <c r="L16" s="41"/>
      <c r="M16" s="116">
        <v>13</v>
      </c>
      <c r="X16" s="41" t="s">
        <v>133</v>
      </c>
      <c r="Y16" s="41"/>
      <c r="Z16" s="39"/>
      <c r="AA16" s="39"/>
      <c r="AB16" s="39"/>
      <c r="AC16" s="39"/>
      <c r="AD16" s="39"/>
    </row>
    <row r="17" spans="1:30" s="115" customFormat="1" ht="14">
      <c r="A17" s="41" t="s">
        <v>160</v>
      </c>
      <c r="B17" s="116" t="s">
        <v>330</v>
      </c>
      <c r="C17" s="43" t="s">
        <v>175</v>
      </c>
      <c r="D17" s="41" t="s">
        <v>176</v>
      </c>
      <c r="E17" s="41" t="s">
        <v>176</v>
      </c>
      <c r="G17" s="41" t="s">
        <v>305</v>
      </c>
      <c r="H17" s="115" t="s">
        <v>372</v>
      </c>
      <c r="I17" s="41" t="s">
        <v>31</v>
      </c>
      <c r="J17" s="111" t="s">
        <v>132</v>
      </c>
      <c r="K17" s="41" t="s">
        <v>249</v>
      </c>
      <c r="L17" s="41"/>
      <c r="M17" s="116">
        <v>14</v>
      </c>
      <c r="X17" s="41" t="s">
        <v>133</v>
      </c>
      <c r="Y17" s="41"/>
      <c r="Z17" s="39"/>
      <c r="AA17" s="39"/>
      <c r="AB17" s="39"/>
      <c r="AC17" s="39"/>
      <c r="AD17" s="39"/>
    </row>
    <row r="18" spans="1:30" s="115" customFormat="1" ht="14">
      <c r="A18" s="41" t="s">
        <v>160</v>
      </c>
      <c r="B18" s="116" t="s">
        <v>330</v>
      </c>
      <c r="C18" s="43" t="s">
        <v>175</v>
      </c>
      <c r="D18" s="41" t="s">
        <v>176</v>
      </c>
      <c r="E18" s="41" t="s">
        <v>176</v>
      </c>
      <c r="G18" s="41" t="s">
        <v>306</v>
      </c>
      <c r="I18" s="41" t="s">
        <v>31</v>
      </c>
      <c r="J18" s="111" t="s">
        <v>132</v>
      </c>
      <c r="K18" s="41" t="s">
        <v>249</v>
      </c>
      <c r="L18" s="41"/>
      <c r="M18" s="116">
        <v>14</v>
      </c>
      <c r="X18" s="41" t="s">
        <v>298</v>
      </c>
      <c r="Y18" s="41"/>
      <c r="Z18" s="39"/>
      <c r="AA18" s="39"/>
      <c r="AB18" s="39"/>
      <c r="AC18" s="39"/>
      <c r="AD18" s="39"/>
    </row>
    <row r="19" spans="1:30" s="115" customFormat="1" ht="14">
      <c r="A19" s="41" t="s">
        <v>160</v>
      </c>
      <c r="B19" s="116" t="s">
        <v>331</v>
      </c>
      <c r="C19" s="43" t="s">
        <v>178</v>
      </c>
      <c r="D19" s="41" t="s">
        <v>179</v>
      </c>
      <c r="E19" s="41" t="s">
        <v>179</v>
      </c>
      <c r="G19" s="41" t="s">
        <v>307</v>
      </c>
      <c r="H19" s="115" t="s">
        <v>372</v>
      </c>
      <c r="I19" s="41" t="s">
        <v>31</v>
      </c>
      <c r="J19" s="111" t="s">
        <v>132</v>
      </c>
      <c r="K19" s="41" t="s">
        <v>249</v>
      </c>
      <c r="L19" s="41"/>
      <c r="M19" s="116">
        <v>15</v>
      </c>
      <c r="X19" s="41" t="s">
        <v>133</v>
      </c>
      <c r="Y19" s="41"/>
      <c r="Z19" s="39"/>
      <c r="AA19" s="39"/>
      <c r="AB19" s="39"/>
      <c r="AC19" s="39"/>
      <c r="AD19" s="39"/>
    </row>
    <row r="20" spans="1:30" s="115" customFormat="1" thickBot="1">
      <c r="A20" s="41" t="s">
        <v>160</v>
      </c>
      <c r="B20" s="116" t="s">
        <v>331</v>
      </c>
      <c r="C20" s="43" t="s">
        <v>178</v>
      </c>
      <c r="D20" s="41" t="s">
        <v>179</v>
      </c>
      <c r="E20" s="41" t="s">
        <v>179</v>
      </c>
      <c r="G20" s="41" t="s">
        <v>308</v>
      </c>
      <c r="I20" s="41" t="s">
        <v>31</v>
      </c>
      <c r="J20" s="111" t="s">
        <v>132</v>
      </c>
      <c r="K20" s="41" t="s">
        <v>249</v>
      </c>
      <c r="L20" s="41"/>
      <c r="M20" s="116">
        <v>15</v>
      </c>
      <c r="X20" s="41" t="s">
        <v>298</v>
      </c>
      <c r="Y20" s="41"/>
      <c r="Z20" s="39"/>
      <c r="AA20" s="39"/>
      <c r="AB20" s="39"/>
      <c r="AC20" s="39"/>
      <c r="AD20" s="39"/>
    </row>
    <row r="21" spans="1:30" ht="131.25" customHeight="1" thickTop="1">
      <c r="A21" s="200" t="s">
        <v>221</v>
      </c>
      <c r="B21" s="201"/>
      <c r="C21" s="201"/>
      <c r="D21" s="202"/>
    </row>
    <row r="22" spans="1:30" s="115" customFormat="1" ht="14">
      <c r="A22" s="42" t="s">
        <v>160</v>
      </c>
      <c r="B22" s="116" t="s">
        <v>324</v>
      </c>
      <c r="C22" s="43" t="s">
        <v>161</v>
      </c>
      <c r="D22" s="41" t="s">
        <v>162</v>
      </c>
      <c r="E22" s="41" t="s">
        <v>162</v>
      </c>
      <c r="G22" s="41" t="s">
        <v>299</v>
      </c>
      <c r="H22" s="115" t="s">
        <v>373</v>
      </c>
      <c r="I22" s="41" t="s">
        <v>31</v>
      </c>
      <c r="J22" s="111" t="s">
        <v>132</v>
      </c>
      <c r="K22" s="41"/>
      <c r="L22" s="41"/>
      <c r="M22" s="116"/>
      <c r="X22" s="41" t="s">
        <v>133</v>
      </c>
      <c r="Y22" s="41"/>
      <c r="Z22" s="39"/>
      <c r="AA22" s="39"/>
      <c r="AB22" s="39"/>
      <c r="AC22" s="39"/>
      <c r="AD22" s="39"/>
    </row>
    <row r="23" spans="1:30" s="115" customFormat="1" ht="14">
      <c r="A23" s="41" t="s">
        <v>160</v>
      </c>
      <c r="B23" s="116" t="s">
        <v>325</v>
      </c>
      <c r="C23" s="43" t="s">
        <v>164</v>
      </c>
      <c r="D23" s="41" t="s">
        <v>165</v>
      </c>
      <c r="E23" s="41" t="s">
        <v>165</v>
      </c>
      <c r="G23" s="41" t="s">
        <v>300</v>
      </c>
      <c r="H23" s="115" t="s">
        <v>372</v>
      </c>
      <c r="I23" s="41" t="s">
        <v>31</v>
      </c>
      <c r="J23" s="111" t="s">
        <v>132</v>
      </c>
      <c r="K23" s="41"/>
      <c r="L23" s="41"/>
      <c r="M23" s="116"/>
      <c r="X23" s="41" t="s">
        <v>133</v>
      </c>
      <c r="Y23" s="41"/>
      <c r="Z23" s="39"/>
      <c r="AA23" s="39"/>
      <c r="AB23" s="39"/>
      <c r="AC23" s="39"/>
      <c r="AD23" s="39"/>
    </row>
    <row r="24" spans="1:30" s="115" customFormat="1" ht="14">
      <c r="A24" s="41" t="s">
        <v>160</v>
      </c>
      <c r="B24" s="116" t="s">
        <v>326</v>
      </c>
      <c r="C24" s="43" t="s">
        <v>167</v>
      </c>
      <c r="D24" s="41" t="s">
        <v>168</v>
      </c>
      <c r="E24" s="41" t="s">
        <v>168</v>
      </c>
      <c r="G24" s="41" t="s">
        <v>301</v>
      </c>
      <c r="H24" s="115" t="s">
        <v>372</v>
      </c>
      <c r="I24" s="41" t="s">
        <v>31</v>
      </c>
      <c r="J24" s="111" t="s">
        <v>132</v>
      </c>
      <c r="K24" s="41"/>
      <c r="L24" s="41"/>
      <c r="M24" s="116"/>
      <c r="X24" s="41" t="s">
        <v>133</v>
      </c>
      <c r="Y24" s="41"/>
      <c r="Z24" s="39"/>
      <c r="AA24" s="39"/>
      <c r="AB24" s="39"/>
      <c r="AC24" s="39"/>
      <c r="AD24" s="39"/>
    </row>
    <row r="25" spans="1:30" s="115" customFormat="1" ht="14">
      <c r="A25" s="41" t="s">
        <v>160</v>
      </c>
      <c r="B25" s="116" t="s">
        <v>327</v>
      </c>
      <c r="C25" s="43" t="s">
        <v>169</v>
      </c>
      <c r="D25" s="41" t="s">
        <v>170</v>
      </c>
      <c r="E25" s="41" t="s">
        <v>170</v>
      </c>
      <c r="G25" s="41" t="s">
        <v>302</v>
      </c>
      <c r="H25" s="115" t="s">
        <v>372</v>
      </c>
      <c r="I25" s="41" t="s">
        <v>31</v>
      </c>
      <c r="J25" s="111" t="s">
        <v>132</v>
      </c>
      <c r="K25" s="41"/>
      <c r="L25" s="41"/>
      <c r="M25" s="116"/>
      <c r="X25" s="41" t="s">
        <v>133</v>
      </c>
      <c r="Y25" s="41"/>
      <c r="Z25" s="39"/>
      <c r="AA25" s="39"/>
      <c r="AB25" s="39"/>
      <c r="AC25" s="39"/>
      <c r="AD25" s="39"/>
    </row>
    <row r="26" spans="1:30" s="115" customFormat="1" ht="14">
      <c r="A26" s="41" t="s">
        <v>160</v>
      </c>
      <c r="B26" s="116" t="s">
        <v>328</v>
      </c>
      <c r="C26" s="43" t="s">
        <v>171</v>
      </c>
      <c r="D26" s="41" t="s">
        <v>172</v>
      </c>
      <c r="E26" s="41" t="s">
        <v>172</v>
      </c>
      <c r="G26" s="41" t="s">
        <v>303</v>
      </c>
      <c r="H26" s="115" t="s">
        <v>372</v>
      </c>
      <c r="I26" s="41" t="s">
        <v>31</v>
      </c>
      <c r="J26" s="111" t="s">
        <v>132</v>
      </c>
      <c r="K26" s="41"/>
      <c r="L26" s="41"/>
      <c r="M26" s="116"/>
      <c r="X26" s="41" t="s">
        <v>133</v>
      </c>
      <c r="Y26" s="41"/>
      <c r="Z26" s="39"/>
      <c r="AA26" s="39"/>
      <c r="AB26" s="39"/>
      <c r="AC26" s="39"/>
      <c r="AD26" s="39"/>
    </row>
    <row r="27" spans="1:30" s="115" customFormat="1" ht="14">
      <c r="A27" s="41" t="s">
        <v>160</v>
      </c>
      <c r="B27" s="116" t="s">
        <v>329</v>
      </c>
      <c r="C27" s="43" t="s">
        <v>173</v>
      </c>
      <c r="D27" s="41" t="s">
        <v>174</v>
      </c>
      <c r="E27" s="41" t="s">
        <v>174</v>
      </c>
      <c r="G27" s="41" t="s">
        <v>304</v>
      </c>
      <c r="H27" s="115" t="s">
        <v>372</v>
      </c>
      <c r="I27" s="41" t="s">
        <v>31</v>
      </c>
      <c r="J27" s="111" t="s">
        <v>132</v>
      </c>
      <c r="K27" s="41"/>
      <c r="L27" s="41"/>
      <c r="M27" s="116"/>
      <c r="X27" s="41" t="s">
        <v>133</v>
      </c>
      <c r="Y27" s="41"/>
      <c r="Z27" s="39"/>
      <c r="AA27" s="39"/>
      <c r="AB27" s="39"/>
      <c r="AC27" s="39"/>
      <c r="AD27" s="39"/>
    </row>
    <row r="28" spans="1:30" s="115" customFormat="1" ht="14">
      <c r="A28" s="41" t="s">
        <v>160</v>
      </c>
      <c r="B28" s="116" t="s">
        <v>330</v>
      </c>
      <c r="C28" s="43" t="s">
        <v>175</v>
      </c>
      <c r="D28" s="41" t="s">
        <v>176</v>
      </c>
      <c r="E28" s="41" t="s">
        <v>176</v>
      </c>
      <c r="G28" s="41" t="s">
        <v>305</v>
      </c>
      <c r="H28" s="115" t="s">
        <v>372</v>
      </c>
      <c r="I28" s="41" t="s">
        <v>31</v>
      </c>
      <c r="J28" s="111" t="s">
        <v>132</v>
      </c>
      <c r="K28" s="41"/>
      <c r="L28" s="41"/>
      <c r="M28" s="116"/>
      <c r="X28" s="41" t="s">
        <v>133</v>
      </c>
      <c r="Y28" s="41"/>
      <c r="Z28" s="39"/>
      <c r="AA28" s="39"/>
      <c r="AB28" s="39"/>
      <c r="AC28" s="39"/>
      <c r="AD28" s="39"/>
    </row>
    <row r="29" spans="1:30" s="115" customFormat="1" ht="14">
      <c r="A29" s="41" t="s">
        <v>160</v>
      </c>
      <c r="B29" s="116" t="s">
        <v>330</v>
      </c>
      <c r="C29" s="43" t="s">
        <v>175</v>
      </c>
      <c r="D29" s="41" t="s">
        <v>176</v>
      </c>
      <c r="E29" s="41" t="s">
        <v>176</v>
      </c>
      <c r="G29" s="41" t="s">
        <v>306</v>
      </c>
      <c r="I29" s="41" t="s">
        <v>31</v>
      </c>
      <c r="J29" s="111" t="s">
        <v>132</v>
      </c>
      <c r="K29" s="41"/>
      <c r="L29" s="41"/>
      <c r="M29" s="116"/>
      <c r="X29" s="41" t="s">
        <v>298</v>
      </c>
      <c r="Y29" s="41"/>
      <c r="Z29" s="39"/>
      <c r="AA29" s="39"/>
      <c r="AB29" s="39"/>
      <c r="AC29" s="39"/>
      <c r="AD29" s="39"/>
    </row>
    <row r="30" spans="1:30" s="115" customFormat="1" ht="14">
      <c r="A30" s="41" t="s">
        <v>160</v>
      </c>
      <c r="B30" s="116" t="s">
        <v>331</v>
      </c>
      <c r="C30" s="43" t="s">
        <v>178</v>
      </c>
      <c r="D30" s="41" t="s">
        <v>179</v>
      </c>
      <c r="E30" s="41" t="s">
        <v>179</v>
      </c>
      <c r="G30" s="41" t="s">
        <v>374</v>
      </c>
      <c r="H30" s="115" t="s">
        <v>372</v>
      </c>
      <c r="I30" s="41" t="s">
        <v>31</v>
      </c>
      <c r="J30" s="111" t="s">
        <v>132</v>
      </c>
      <c r="K30" s="41"/>
      <c r="L30" s="41"/>
      <c r="M30" s="116"/>
      <c r="X30" s="41" t="s">
        <v>133</v>
      </c>
      <c r="Y30" s="41"/>
      <c r="Z30" s="39"/>
      <c r="AA30" s="39"/>
      <c r="AB30" s="39"/>
      <c r="AC30" s="39"/>
      <c r="AD30" s="39"/>
    </row>
    <row r="31" spans="1:30" s="115" customFormat="1" ht="14">
      <c r="A31" s="41" t="s">
        <v>160</v>
      </c>
      <c r="B31" s="116" t="s">
        <v>331</v>
      </c>
      <c r="C31" s="43" t="s">
        <v>178</v>
      </c>
      <c r="D31" s="41" t="s">
        <v>179</v>
      </c>
      <c r="E31" s="41" t="s">
        <v>179</v>
      </c>
      <c r="G31" s="41" t="s">
        <v>308</v>
      </c>
      <c r="I31" s="41" t="s">
        <v>31</v>
      </c>
      <c r="J31" s="111" t="s">
        <v>132</v>
      </c>
      <c r="K31" s="41"/>
      <c r="L31" s="41"/>
      <c r="M31" s="116"/>
      <c r="X31" s="41" t="s">
        <v>298</v>
      </c>
      <c r="Y31" s="41"/>
      <c r="Z31" s="39"/>
      <c r="AA31" s="39"/>
      <c r="AB31" s="39"/>
      <c r="AC31" s="39"/>
      <c r="AD31" s="39"/>
    </row>
    <row r="32" spans="1:30" s="115" customFormat="1" ht="14">
      <c r="A32" s="41" t="s">
        <v>160</v>
      </c>
      <c r="B32" s="116" t="s">
        <v>318</v>
      </c>
      <c r="C32" s="43" t="s">
        <v>180</v>
      </c>
      <c r="D32" s="41" t="s">
        <v>181</v>
      </c>
      <c r="E32" s="41" t="s">
        <v>181</v>
      </c>
      <c r="G32" s="41" t="s">
        <v>309</v>
      </c>
      <c r="H32" s="115" t="s">
        <v>372</v>
      </c>
      <c r="I32" s="41" t="s">
        <v>31</v>
      </c>
      <c r="J32" s="111" t="s">
        <v>132</v>
      </c>
      <c r="K32" s="41"/>
      <c r="L32" s="41"/>
      <c r="M32" s="116"/>
      <c r="X32" s="41" t="s">
        <v>133</v>
      </c>
      <c r="Y32" s="41"/>
      <c r="Z32" s="39"/>
      <c r="AA32" s="39"/>
      <c r="AB32" s="39"/>
      <c r="AC32" s="39"/>
      <c r="AD32" s="39"/>
    </row>
    <row r="33" spans="1:30" s="115" customFormat="1" ht="14">
      <c r="A33" s="41" t="s">
        <v>160</v>
      </c>
      <c r="B33" s="116" t="s">
        <v>319</v>
      </c>
      <c r="C33" s="43" t="s">
        <v>182</v>
      </c>
      <c r="D33" s="41" t="s">
        <v>183</v>
      </c>
      <c r="E33" s="41" t="s">
        <v>183</v>
      </c>
      <c r="G33" s="41" t="s">
        <v>310</v>
      </c>
      <c r="H33" s="115" t="s">
        <v>372</v>
      </c>
      <c r="I33" s="41" t="s">
        <v>31</v>
      </c>
      <c r="J33" s="111" t="s">
        <v>132</v>
      </c>
      <c r="K33" s="41"/>
      <c r="L33" s="41"/>
      <c r="M33" s="116"/>
      <c r="X33" s="41" t="s">
        <v>133</v>
      </c>
      <c r="Y33" s="41"/>
      <c r="Z33" s="39"/>
      <c r="AA33" s="39"/>
      <c r="AB33" s="39"/>
      <c r="AC33" s="39"/>
      <c r="AD33" s="39"/>
    </row>
    <row r="34" spans="1:30" s="115" customFormat="1" ht="14">
      <c r="A34" s="41" t="s">
        <v>160</v>
      </c>
      <c r="B34" s="116" t="s">
        <v>320</v>
      </c>
      <c r="C34" s="43" t="s">
        <v>184</v>
      </c>
      <c r="D34" s="41" t="s">
        <v>185</v>
      </c>
      <c r="E34" s="41" t="s">
        <v>185</v>
      </c>
      <c r="G34" s="41" t="s">
        <v>311</v>
      </c>
      <c r="H34" s="115" t="s">
        <v>372</v>
      </c>
      <c r="I34" s="41" t="s">
        <v>31</v>
      </c>
      <c r="J34" s="111" t="s">
        <v>132</v>
      </c>
      <c r="K34" s="41"/>
      <c r="L34" s="41"/>
      <c r="M34" s="116"/>
      <c r="X34" s="41" t="s">
        <v>133</v>
      </c>
      <c r="Y34" s="41"/>
      <c r="Z34" s="39"/>
      <c r="AA34" s="39"/>
      <c r="AB34" s="39"/>
      <c r="AC34" s="39"/>
      <c r="AD34" s="39"/>
    </row>
    <row r="35" spans="1:30" s="115" customFormat="1" ht="14">
      <c r="A35" s="41" t="s">
        <v>160</v>
      </c>
      <c r="B35" s="116" t="s">
        <v>321</v>
      </c>
      <c r="C35" s="43" t="s">
        <v>186</v>
      </c>
      <c r="D35" s="41" t="s">
        <v>187</v>
      </c>
      <c r="E35" s="41" t="s">
        <v>187</v>
      </c>
      <c r="G35" s="41" t="s">
        <v>312</v>
      </c>
      <c r="H35" s="115" t="s">
        <v>372</v>
      </c>
      <c r="I35" s="41" t="s">
        <v>31</v>
      </c>
      <c r="J35" s="111" t="s">
        <v>132</v>
      </c>
      <c r="K35" s="41"/>
      <c r="L35" s="41"/>
      <c r="M35" s="116"/>
      <c r="X35" s="41" t="s">
        <v>133</v>
      </c>
      <c r="Y35" s="41"/>
      <c r="Z35" s="39"/>
      <c r="AA35" s="39"/>
      <c r="AB35" s="39"/>
      <c r="AC35" s="39"/>
      <c r="AD35" s="39"/>
    </row>
    <row r="36" spans="1:30" s="115" customFormat="1" ht="14">
      <c r="A36" s="41" t="s">
        <v>160</v>
      </c>
      <c r="B36" s="116" t="s">
        <v>322</v>
      </c>
      <c r="C36" s="43" t="s">
        <v>188</v>
      </c>
      <c r="D36" s="41" t="s">
        <v>189</v>
      </c>
      <c r="E36" s="41" t="s">
        <v>189</v>
      </c>
      <c r="G36" s="41" t="s">
        <v>313</v>
      </c>
      <c r="H36" s="115" t="s">
        <v>372</v>
      </c>
      <c r="I36" s="41" t="s">
        <v>31</v>
      </c>
      <c r="J36" s="111" t="s">
        <v>132</v>
      </c>
      <c r="K36" s="41"/>
      <c r="L36" s="41"/>
      <c r="M36" s="116"/>
      <c r="X36" s="41" t="s">
        <v>133</v>
      </c>
      <c r="Y36" s="41"/>
      <c r="Z36" s="39"/>
      <c r="AA36" s="39"/>
      <c r="AB36" s="39"/>
      <c r="AC36" s="39"/>
      <c r="AD36" s="39"/>
    </row>
    <row r="37" spans="1:30" s="115" customFormat="1" ht="14">
      <c r="A37" s="41" t="s">
        <v>160</v>
      </c>
      <c r="B37" s="116" t="s">
        <v>323</v>
      </c>
      <c r="C37" s="43" t="s">
        <v>190</v>
      </c>
      <c r="D37" s="41" t="s">
        <v>191</v>
      </c>
      <c r="E37" s="41" t="s">
        <v>192</v>
      </c>
      <c r="G37" s="41" t="s">
        <v>314</v>
      </c>
      <c r="H37" s="115" t="s">
        <v>317</v>
      </c>
      <c r="I37" s="41" t="s">
        <v>31</v>
      </c>
      <c r="J37" s="111" t="s">
        <v>132</v>
      </c>
      <c r="K37" s="41"/>
      <c r="L37" s="41"/>
      <c r="M37" s="116"/>
      <c r="X37" s="41" t="s">
        <v>133</v>
      </c>
      <c r="Y37" s="41"/>
      <c r="Z37" s="39"/>
      <c r="AA37" s="39"/>
      <c r="AB37" s="39"/>
      <c r="AC37" s="39"/>
      <c r="AD37" s="39"/>
    </row>
    <row r="38" spans="1:30" s="115" customFormat="1" ht="14">
      <c r="A38" s="42" t="s">
        <v>193</v>
      </c>
      <c r="B38" s="116" t="s">
        <v>332</v>
      </c>
      <c r="C38" s="41" t="s">
        <v>194</v>
      </c>
      <c r="D38" s="41" t="s">
        <v>195</v>
      </c>
      <c r="E38" s="41" t="s">
        <v>195</v>
      </c>
      <c r="G38" s="41" t="s">
        <v>315</v>
      </c>
      <c r="H38" s="115" t="s">
        <v>372</v>
      </c>
      <c r="I38" s="41" t="s">
        <v>31</v>
      </c>
      <c r="J38" s="111" t="s">
        <v>132</v>
      </c>
      <c r="K38" s="41"/>
      <c r="L38" s="41"/>
      <c r="M38" s="116"/>
      <c r="X38" s="41" t="s">
        <v>133</v>
      </c>
      <c r="Y38" s="41"/>
      <c r="Z38" s="39"/>
      <c r="AA38" s="39"/>
      <c r="AB38" s="39"/>
      <c r="AC38" s="39"/>
      <c r="AD38" s="39"/>
    </row>
    <row r="39" spans="1:30" s="115" customFormat="1" ht="14">
      <c r="A39" s="41" t="s">
        <v>193</v>
      </c>
      <c r="B39" s="116" t="s">
        <v>333</v>
      </c>
      <c r="C39" s="41" t="s">
        <v>167</v>
      </c>
      <c r="D39" s="41" t="s">
        <v>165</v>
      </c>
      <c r="E39" s="41" t="s">
        <v>165</v>
      </c>
      <c r="G39" s="41" t="s">
        <v>316</v>
      </c>
      <c r="H39" s="115" t="s">
        <v>372</v>
      </c>
      <c r="I39" s="41" t="s">
        <v>31</v>
      </c>
      <c r="J39" s="111" t="s">
        <v>132</v>
      </c>
      <c r="K39" s="41"/>
      <c r="L39" s="41"/>
      <c r="M39" s="116"/>
      <c r="X39" s="41" t="s">
        <v>133</v>
      </c>
      <c r="Y39" s="41"/>
      <c r="Z39" s="39"/>
      <c r="AA39" s="39"/>
      <c r="AB39" s="39"/>
      <c r="AC39" s="39"/>
      <c r="AD39" s="39"/>
    </row>
    <row r="40" spans="1:30" s="115" customFormat="1" ht="14">
      <c r="A40" s="41" t="s">
        <v>193</v>
      </c>
      <c r="B40" s="116" t="s">
        <v>334</v>
      </c>
      <c r="C40" s="43" t="s">
        <v>169</v>
      </c>
      <c r="D40" s="41" t="s">
        <v>168</v>
      </c>
      <c r="E40" s="41" t="s">
        <v>168</v>
      </c>
      <c r="G40" s="41" t="s">
        <v>301</v>
      </c>
      <c r="H40" s="115" t="s">
        <v>372</v>
      </c>
      <c r="I40" s="41" t="s">
        <v>31</v>
      </c>
      <c r="J40" s="111" t="s">
        <v>132</v>
      </c>
      <c r="K40" s="41"/>
      <c r="L40" s="41"/>
      <c r="M40" s="116"/>
      <c r="X40" s="41" t="s">
        <v>133</v>
      </c>
      <c r="Y40" s="41"/>
      <c r="Z40" s="39"/>
      <c r="AA40" s="39"/>
      <c r="AB40" s="39"/>
      <c r="AC40" s="39"/>
      <c r="AD40" s="39"/>
    </row>
    <row r="41" spans="1:30" s="115" customFormat="1" ht="14">
      <c r="A41" s="41" t="s">
        <v>193</v>
      </c>
      <c r="B41" s="116" t="s">
        <v>334</v>
      </c>
      <c r="C41" s="43" t="s">
        <v>376</v>
      </c>
      <c r="D41" s="41" t="s">
        <v>170</v>
      </c>
      <c r="E41" s="41" t="s">
        <v>170</v>
      </c>
      <c r="G41" s="41" t="s">
        <v>302</v>
      </c>
      <c r="H41" s="115" t="s">
        <v>372</v>
      </c>
      <c r="I41" s="41" t="s">
        <v>31</v>
      </c>
      <c r="J41" s="111" t="s">
        <v>132</v>
      </c>
      <c r="K41" s="41"/>
      <c r="L41" s="41"/>
      <c r="M41" s="116"/>
      <c r="X41" s="41" t="s">
        <v>133</v>
      </c>
      <c r="Y41" s="41"/>
      <c r="Z41" s="39"/>
      <c r="AA41" s="39"/>
      <c r="AB41" s="39"/>
      <c r="AC41" s="39"/>
      <c r="AD41" s="39"/>
    </row>
  </sheetData>
  <mergeCells count="11">
    <mergeCell ref="A21:D21"/>
    <mergeCell ref="D3:I3"/>
    <mergeCell ref="A3:C3"/>
    <mergeCell ref="A5:C5"/>
    <mergeCell ref="J3:W3"/>
    <mergeCell ref="X3:Y3"/>
    <mergeCell ref="Z3:AI3"/>
    <mergeCell ref="A6:C6"/>
    <mergeCell ref="A7:D7"/>
    <mergeCell ref="A10:D10"/>
    <mergeCell ref="A13:D13"/>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48BE-6BFA-FF44-BB8B-3279DC5B1AE6}">
  <dimension ref="A1:T37"/>
  <sheetViews>
    <sheetView showGridLines="0" workbookViewId="0">
      <selection sqref="A1:E1"/>
    </sheetView>
  </sheetViews>
  <sheetFormatPr baseColWidth="10" defaultColWidth="9.1640625" defaultRowHeight="13"/>
  <cols>
    <col min="1" max="8" width="21.33203125" style="5" customWidth="1"/>
    <col min="9" max="9" width="11" style="5" customWidth="1"/>
    <col min="10" max="10" width="23" style="5" bestFit="1" customWidth="1"/>
    <col min="11" max="11" width="11" style="5" customWidth="1"/>
    <col min="12" max="12" width="27" style="5" bestFit="1" customWidth="1"/>
    <col min="13" max="13" width="11" style="5" customWidth="1"/>
    <col min="14" max="16" width="19.83203125" style="5" customWidth="1"/>
    <col min="17" max="17" width="7.5" style="5" customWidth="1"/>
    <col min="18" max="25" width="13.5" style="5" customWidth="1"/>
    <col min="26" max="16384" width="9.1640625" style="5"/>
  </cols>
  <sheetData>
    <row r="1" spans="1:20" ht="21" customHeight="1">
      <c r="A1" s="213" t="s">
        <v>38</v>
      </c>
      <c r="B1" s="213"/>
      <c r="C1" s="213"/>
      <c r="D1" s="213"/>
      <c r="E1" s="213"/>
      <c r="F1" s="4"/>
      <c r="G1" s="4"/>
      <c r="H1" s="4"/>
      <c r="N1" s="214"/>
      <c r="O1" s="214"/>
      <c r="P1" s="214"/>
      <c r="Q1" s="6"/>
      <c r="R1" s="7"/>
      <c r="S1" s="7"/>
      <c r="T1" s="7"/>
    </row>
    <row r="2" spans="1:20" ht="15" customHeight="1">
      <c r="A2" s="215" t="s">
        <v>39</v>
      </c>
      <c r="B2" s="215"/>
      <c r="C2" s="215"/>
      <c r="D2" s="215"/>
      <c r="E2" s="215"/>
      <c r="F2" s="7"/>
      <c r="G2" s="7"/>
      <c r="H2" s="7"/>
    </row>
    <row r="3" spans="1:20" ht="15" customHeight="1">
      <c r="A3" s="26" t="s">
        <v>17</v>
      </c>
      <c r="B3" s="26" t="s">
        <v>18</v>
      </c>
      <c r="C3" s="26" t="s">
        <v>15</v>
      </c>
      <c r="D3" s="26" t="s">
        <v>16</v>
      </c>
      <c r="E3" s="26" t="s">
        <v>19</v>
      </c>
      <c r="F3" s="7"/>
    </row>
    <row r="4" spans="1:20" ht="15" customHeight="1">
      <c r="A4" s="27" t="s">
        <v>7</v>
      </c>
      <c r="B4" s="27" t="s">
        <v>9</v>
      </c>
      <c r="C4" s="27" t="s">
        <v>12</v>
      </c>
      <c r="D4" s="27" t="s">
        <v>13</v>
      </c>
      <c r="E4" s="27" t="s">
        <v>14</v>
      </c>
      <c r="F4" s="7"/>
      <c r="G4" s="7"/>
      <c r="H4" s="7"/>
    </row>
    <row r="5" spans="1:20" ht="15" customHeight="1">
      <c r="A5" s="28" t="s">
        <v>8</v>
      </c>
      <c r="B5" s="28" t="s">
        <v>8</v>
      </c>
      <c r="C5" s="28" t="s">
        <v>8</v>
      </c>
      <c r="D5" s="28" t="s">
        <v>8</v>
      </c>
      <c r="E5" s="28" t="s">
        <v>8</v>
      </c>
      <c r="F5" s="10"/>
      <c r="G5" s="10"/>
      <c r="H5" s="10"/>
    </row>
    <row r="6" spans="1:20" ht="9.75" customHeight="1">
      <c r="A6" s="11"/>
      <c r="B6" s="11"/>
      <c r="C6" s="11"/>
      <c r="D6" s="11"/>
      <c r="E6" s="11"/>
      <c r="F6" s="11"/>
      <c r="G6" s="11"/>
      <c r="H6" s="11"/>
      <c r="P6" s="11"/>
      <c r="Q6" s="11"/>
      <c r="R6" s="7"/>
      <c r="S6" s="7"/>
      <c r="T6" s="11"/>
    </row>
    <row r="7" spans="1:20" ht="21" customHeight="1">
      <c r="A7" s="213" t="s">
        <v>40</v>
      </c>
      <c r="B7" s="213"/>
      <c r="C7" s="213"/>
      <c r="D7" s="213"/>
      <c r="E7" s="213"/>
      <c r="F7" s="213"/>
      <c r="G7" s="213"/>
      <c r="H7" s="213"/>
      <c r="Q7" s="12"/>
    </row>
    <row r="8" spans="1:20" ht="15" customHeight="1">
      <c r="A8" s="215" t="s">
        <v>41</v>
      </c>
      <c r="B8" s="215"/>
      <c r="C8" s="215"/>
      <c r="D8" s="215"/>
      <c r="E8" s="215"/>
      <c r="F8" s="215"/>
      <c r="G8" s="215"/>
      <c r="H8" s="215"/>
      <c r="Q8" s="11"/>
    </row>
    <row r="9" spans="1:20" ht="15" customHeight="1">
      <c r="A9" s="8" t="s">
        <v>17</v>
      </c>
      <c r="B9" s="8" t="s">
        <v>18</v>
      </c>
      <c r="C9" s="8" t="s">
        <v>15</v>
      </c>
      <c r="D9" s="8" t="s">
        <v>16</v>
      </c>
      <c r="E9" s="8" t="s">
        <v>19</v>
      </c>
      <c r="F9" s="8" t="s">
        <v>42</v>
      </c>
      <c r="G9" s="8" t="s">
        <v>43</v>
      </c>
      <c r="H9" s="8" t="s">
        <v>44</v>
      </c>
      <c r="Q9" s="11"/>
    </row>
    <row r="10" spans="1:20" ht="15" customHeight="1">
      <c r="A10" s="9" t="s">
        <v>45</v>
      </c>
      <c r="B10" s="9" t="s">
        <v>46</v>
      </c>
      <c r="C10" s="9" t="s">
        <v>47</v>
      </c>
      <c r="D10" s="9" t="s">
        <v>48</v>
      </c>
      <c r="E10" s="9" t="s">
        <v>49</v>
      </c>
      <c r="F10" s="9" t="s">
        <v>50</v>
      </c>
      <c r="G10" s="9" t="s">
        <v>51</v>
      </c>
      <c r="H10" s="9" t="s">
        <v>52</v>
      </c>
      <c r="Q10" s="11"/>
    </row>
    <row r="11" spans="1:20" ht="15" customHeight="1">
      <c r="A11" s="13" t="s">
        <v>8</v>
      </c>
      <c r="B11" s="13" t="s">
        <v>8</v>
      </c>
      <c r="C11" s="13" t="s">
        <v>8</v>
      </c>
      <c r="D11" s="13" t="s">
        <v>8</v>
      </c>
      <c r="E11" s="13" t="s">
        <v>8</v>
      </c>
      <c r="F11" s="13" t="s">
        <v>8</v>
      </c>
      <c r="G11" s="13" t="s">
        <v>8</v>
      </c>
      <c r="H11" s="13" t="s">
        <v>8</v>
      </c>
      <c r="M11" s="14"/>
      <c r="Q11" s="4"/>
    </row>
    <row r="12" spans="1:20" ht="25.5" customHeight="1">
      <c r="Q12" s="7"/>
    </row>
    <row r="13" spans="1:20" ht="21" customHeight="1">
      <c r="A13" s="216" t="s">
        <v>53</v>
      </c>
      <c r="B13" s="216"/>
      <c r="C13" s="216"/>
      <c r="F13" s="217" t="s">
        <v>54</v>
      </c>
      <c r="G13" s="217"/>
      <c r="H13" s="217"/>
      <c r="M13" s="15"/>
      <c r="N13" s="15"/>
      <c r="Q13" s="16"/>
    </row>
    <row r="14" spans="1:20" ht="9.75" customHeight="1">
      <c r="A14" s="17"/>
      <c r="B14" s="17"/>
      <c r="C14" s="17"/>
      <c r="D14" s="18"/>
      <c r="F14" s="17"/>
      <c r="G14" s="17"/>
      <c r="H14" s="17"/>
      <c r="Q14" s="16"/>
    </row>
    <row r="15" spans="1:20" ht="21" customHeight="1">
      <c r="A15" s="219" t="s">
        <v>55</v>
      </c>
      <c r="B15" s="219"/>
      <c r="C15" s="219"/>
      <c r="Q15" s="11"/>
    </row>
    <row r="16" spans="1:20" ht="15" customHeight="1">
      <c r="A16" s="215" t="s">
        <v>56</v>
      </c>
      <c r="B16" s="215"/>
      <c r="C16" s="215"/>
      <c r="Q16" s="11"/>
    </row>
    <row r="17" spans="1:19" ht="15" customHeight="1">
      <c r="A17" s="8" t="s">
        <v>57</v>
      </c>
      <c r="B17" s="8" t="s">
        <v>57</v>
      </c>
      <c r="C17" s="8" t="s">
        <v>57</v>
      </c>
      <c r="Q17" s="11"/>
    </row>
    <row r="18" spans="1:19" ht="15" customHeight="1">
      <c r="A18" s="29" t="s">
        <v>61</v>
      </c>
      <c r="B18" s="29" t="s">
        <v>61</v>
      </c>
      <c r="C18" s="29" t="s">
        <v>61</v>
      </c>
      <c r="M18" s="14"/>
      <c r="Q18" s="19"/>
    </row>
    <row r="19" spans="1:19" ht="15" customHeight="1">
      <c r="A19" s="13" t="s">
        <v>58</v>
      </c>
      <c r="B19" s="13" t="s">
        <v>59</v>
      </c>
      <c r="C19" s="13" t="s">
        <v>60</v>
      </c>
      <c r="Q19" s="7"/>
      <c r="R19" s="11"/>
      <c r="S19" s="11"/>
    </row>
    <row r="20" spans="1:19" ht="9.75" customHeight="1">
      <c r="R20" s="11"/>
      <c r="S20" s="11"/>
    </row>
    <row r="21" spans="1:19" ht="21" customHeight="1">
      <c r="A21" s="220" t="s">
        <v>62</v>
      </c>
      <c r="B21" s="220"/>
      <c r="C21" s="220"/>
      <c r="F21" s="220" t="s">
        <v>62</v>
      </c>
      <c r="G21" s="220"/>
      <c r="H21" s="220"/>
      <c r="R21" s="11"/>
      <c r="S21" s="11"/>
    </row>
    <row r="22" spans="1:19" ht="15" customHeight="1">
      <c r="A22" s="215" t="s">
        <v>56</v>
      </c>
      <c r="B22" s="215"/>
      <c r="C22" s="215"/>
      <c r="F22" s="215" t="s">
        <v>63</v>
      </c>
      <c r="G22" s="215"/>
      <c r="H22" s="215"/>
      <c r="R22" s="11"/>
      <c r="S22" s="11"/>
    </row>
    <row r="23" spans="1:19" ht="15" customHeight="1">
      <c r="A23" s="8" t="s">
        <v>57</v>
      </c>
      <c r="B23" s="8" t="s">
        <v>57</v>
      </c>
      <c r="C23" s="8" t="s">
        <v>57</v>
      </c>
      <c r="F23" s="8" t="s">
        <v>57</v>
      </c>
      <c r="G23" s="8" t="s">
        <v>57</v>
      </c>
      <c r="H23" s="8" t="s">
        <v>57</v>
      </c>
      <c r="R23" s="11"/>
      <c r="S23" s="11"/>
    </row>
    <row r="24" spans="1:19" ht="15" customHeight="1">
      <c r="A24" s="29" t="s">
        <v>61</v>
      </c>
      <c r="B24" s="29" t="s">
        <v>61</v>
      </c>
      <c r="C24" s="29" t="s">
        <v>61</v>
      </c>
      <c r="F24" s="29" t="s">
        <v>66</v>
      </c>
      <c r="G24" s="29" t="s">
        <v>66</v>
      </c>
      <c r="H24" s="29" t="s">
        <v>66</v>
      </c>
      <c r="R24" s="11"/>
      <c r="S24" s="11"/>
    </row>
    <row r="25" spans="1:19" ht="15" customHeight="1">
      <c r="A25" s="13" t="s">
        <v>64</v>
      </c>
      <c r="B25" s="13" t="s">
        <v>65</v>
      </c>
      <c r="C25" s="13" t="s">
        <v>60</v>
      </c>
      <c r="F25" s="13" t="s">
        <v>64</v>
      </c>
      <c r="G25" s="13" t="s">
        <v>65</v>
      </c>
      <c r="H25" s="13" t="s">
        <v>60</v>
      </c>
      <c r="R25" s="11"/>
      <c r="S25" s="11"/>
    </row>
    <row r="26" spans="1:19" ht="9.75" customHeight="1"/>
    <row r="27" spans="1:19" ht="21" customHeight="1">
      <c r="A27" s="218" t="s">
        <v>67</v>
      </c>
      <c r="B27" s="218"/>
      <c r="C27" s="218"/>
      <c r="F27" s="218" t="s">
        <v>67</v>
      </c>
      <c r="G27" s="218"/>
      <c r="H27" s="218"/>
    </row>
    <row r="28" spans="1:19" ht="15" customHeight="1">
      <c r="A28" s="215" t="s">
        <v>56</v>
      </c>
      <c r="B28" s="215"/>
      <c r="C28" s="215"/>
      <c r="F28" s="215" t="s">
        <v>63</v>
      </c>
      <c r="G28" s="215"/>
      <c r="H28" s="215"/>
    </row>
    <row r="29" spans="1:19" ht="15" customHeight="1">
      <c r="A29" s="8" t="s">
        <v>57</v>
      </c>
      <c r="B29" s="8" t="s">
        <v>57</v>
      </c>
      <c r="C29" s="8" t="s">
        <v>57</v>
      </c>
      <c r="F29" s="8" t="s">
        <v>57</v>
      </c>
      <c r="G29" s="8" t="s">
        <v>57</v>
      </c>
      <c r="H29" s="8" t="s">
        <v>57</v>
      </c>
    </row>
    <row r="30" spans="1:19" ht="15" customHeight="1">
      <c r="A30" s="9" t="s">
        <v>68</v>
      </c>
      <c r="B30" s="9" t="s">
        <v>68</v>
      </c>
      <c r="C30" s="9" t="s">
        <v>68</v>
      </c>
      <c r="F30" s="9" t="s">
        <v>69</v>
      </c>
      <c r="G30" s="9" t="s">
        <v>69</v>
      </c>
      <c r="H30" s="9" t="s">
        <v>69</v>
      </c>
    </row>
    <row r="31" spans="1:19" ht="15" customHeight="1">
      <c r="A31" s="13" t="s">
        <v>58</v>
      </c>
      <c r="B31" s="13" t="s">
        <v>59</v>
      </c>
      <c r="C31" s="13" t="s">
        <v>60</v>
      </c>
      <c r="F31" s="13" t="s">
        <v>58</v>
      </c>
      <c r="G31" s="13" t="s">
        <v>59</v>
      </c>
      <c r="H31" s="13" t="s">
        <v>60</v>
      </c>
    </row>
    <row r="33" spans="1:3" ht="18">
      <c r="A33" s="209" t="s">
        <v>245</v>
      </c>
      <c r="B33" s="209"/>
      <c r="C33" s="209"/>
    </row>
    <row r="34" spans="1:3" ht="14.25" customHeight="1">
      <c r="A34" s="210" t="s">
        <v>248</v>
      </c>
      <c r="B34" s="211"/>
      <c r="C34" s="212"/>
    </row>
    <row r="35" spans="1:3" ht="15">
      <c r="A35" s="8" t="s">
        <v>246</v>
      </c>
    </row>
    <row r="36" spans="1:3" ht="15">
      <c r="A36" s="9" t="s">
        <v>247</v>
      </c>
    </row>
    <row r="37" spans="1:3" ht="15">
      <c r="A37" s="13" t="s">
        <v>8</v>
      </c>
    </row>
  </sheetData>
  <mergeCells count="19">
    <mergeCell ref="F27:H27"/>
    <mergeCell ref="A28:C28"/>
    <mergeCell ref="F28:H28"/>
    <mergeCell ref="A15:C15"/>
    <mergeCell ref="A16:C16"/>
    <mergeCell ref="A21:C21"/>
    <mergeCell ref="F21:H21"/>
    <mergeCell ref="A22:C22"/>
    <mergeCell ref="F22:H22"/>
    <mergeCell ref="A33:C33"/>
    <mergeCell ref="A34:C34"/>
    <mergeCell ref="A1:E1"/>
    <mergeCell ref="N1:P1"/>
    <mergeCell ref="A2:E2"/>
    <mergeCell ref="A7:H7"/>
    <mergeCell ref="A8:H8"/>
    <mergeCell ref="A13:C13"/>
    <mergeCell ref="F13:H13"/>
    <mergeCell ref="A27:C27"/>
  </mergeCells>
  <dataValidations count="1">
    <dataValidation type="custom" showDropDown="1" showErrorMessage="1" errorTitle="NAE Point Schedule - Error" error="Invalid Entry_x000d__x000a_Please use the &quot;Select Property&quot; window to populate column headings." sqref="Q11" xr:uid="{2C36ABF6-1646-7949-B9B6-8409AF41ED76}">
      <formula1>"DPR-O"</formula1>
    </dataValidation>
  </dataValidation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44F7-47AC-9949-8CA8-9FB1124C5468}">
  <dimension ref="A1:L38"/>
  <sheetViews>
    <sheetView showGridLines="0" workbookViewId="0">
      <selection sqref="A1:H1"/>
    </sheetView>
  </sheetViews>
  <sheetFormatPr baseColWidth="10" defaultColWidth="9.1640625" defaultRowHeight="14"/>
  <cols>
    <col min="1" max="11" width="21.33203125" style="20" customWidth="1"/>
    <col min="12" max="16384" width="9.1640625" style="20"/>
  </cols>
  <sheetData>
    <row r="1" spans="1:12" ht="21" customHeight="1">
      <c r="A1" s="213" t="s">
        <v>70</v>
      </c>
      <c r="B1" s="213"/>
      <c r="C1" s="213"/>
      <c r="D1" s="213"/>
      <c r="E1" s="213"/>
      <c r="F1" s="213"/>
      <c r="G1" s="213"/>
      <c r="H1" s="213"/>
      <c r="I1" s="7"/>
      <c r="J1" s="5"/>
      <c r="K1" s="5"/>
    </row>
    <row r="2" spans="1:12" ht="15.5" customHeight="1">
      <c r="A2" s="221" t="s">
        <v>71</v>
      </c>
      <c r="B2" s="221"/>
      <c r="C2" s="221"/>
      <c r="D2" s="221"/>
      <c r="E2" s="221"/>
      <c r="F2" s="221"/>
      <c r="G2" s="221"/>
      <c r="H2" s="221"/>
      <c r="I2" s="11"/>
      <c r="J2" s="5"/>
      <c r="K2" s="5"/>
    </row>
    <row r="3" spans="1:12" ht="15.5" customHeight="1">
      <c r="A3" s="30" t="s">
        <v>72</v>
      </c>
      <c r="B3" s="30" t="s">
        <v>73</v>
      </c>
      <c r="C3" s="30" t="s">
        <v>74</v>
      </c>
      <c r="D3" s="30" t="s">
        <v>75</v>
      </c>
      <c r="E3" s="30" t="s">
        <v>15</v>
      </c>
      <c r="F3" s="30" t="s">
        <v>76</v>
      </c>
      <c r="G3" s="30" t="s">
        <v>77</v>
      </c>
      <c r="H3" s="30" t="s">
        <v>78</v>
      </c>
      <c r="I3" s="7"/>
      <c r="J3" s="5"/>
      <c r="K3" s="5"/>
    </row>
    <row r="4" spans="1:12" ht="15.5" customHeight="1">
      <c r="A4" s="21" t="s">
        <v>79</v>
      </c>
      <c r="B4" s="21" t="s">
        <v>80</v>
      </c>
      <c r="C4" s="21" t="s">
        <v>81</v>
      </c>
      <c r="D4" s="21" t="s">
        <v>82</v>
      </c>
      <c r="E4" s="21" t="s">
        <v>83</v>
      </c>
      <c r="F4" s="21" t="s">
        <v>84</v>
      </c>
      <c r="G4" s="21" t="s">
        <v>85</v>
      </c>
      <c r="H4" s="21" t="s">
        <v>86</v>
      </c>
      <c r="I4" s="5"/>
      <c r="J4" s="5"/>
      <c r="K4" s="5"/>
    </row>
    <row r="5" spans="1:12" ht="15.5" customHeight="1">
      <c r="A5" s="22" t="s">
        <v>8</v>
      </c>
      <c r="B5" s="22" t="s">
        <v>8</v>
      </c>
      <c r="C5" s="22" t="s">
        <v>8</v>
      </c>
      <c r="D5" s="22" t="s">
        <v>8</v>
      </c>
      <c r="E5" s="22" t="s">
        <v>8</v>
      </c>
      <c r="F5" s="22" t="s">
        <v>8</v>
      </c>
      <c r="G5" s="22" t="s">
        <v>8</v>
      </c>
      <c r="H5" s="22" t="s">
        <v>8</v>
      </c>
      <c r="I5" s="7"/>
      <c r="J5" s="5"/>
      <c r="K5" s="5"/>
    </row>
    <row r="6" spans="1:12" ht="9.75" customHeight="1">
      <c r="I6" s="7"/>
      <c r="J6" s="5"/>
      <c r="K6" s="5"/>
    </row>
    <row r="7" spans="1:12" ht="21" customHeight="1">
      <c r="A7" s="213" t="s">
        <v>87</v>
      </c>
      <c r="B7" s="213"/>
      <c r="C7" s="213"/>
      <c r="D7" s="213"/>
      <c r="E7" s="213"/>
      <c r="F7" s="213"/>
      <c r="G7" s="213"/>
      <c r="H7" s="213"/>
      <c r="I7" s="213"/>
      <c r="J7" s="213"/>
      <c r="K7" s="213"/>
    </row>
    <row r="8" spans="1:12" ht="15.5" customHeight="1">
      <c r="A8" s="221" t="s">
        <v>88</v>
      </c>
      <c r="B8" s="221"/>
      <c r="C8" s="221"/>
      <c r="D8" s="221"/>
      <c r="E8" s="221"/>
      <c r="F8" s="221"/>
      <c r="G8" s="221"/>
      <c r="H8" s="221"/>
      <c r="I8" s="221"/>
      <c r="J8" s="221"/>
      <c r="K8" s="221"/>
    </row>
    <row r="9" spans="1:12" ht="15.5" customHeight="1">
      <c r="A9" s="30" t="s">
        <v>72</v>
      </c>
      <c r="B9" s="30" t="s">
        <v>73</v>
      </c>
      <c r="C9" s="30" t="s">
        <v>74</v>
      </c>
      <c r="D9" s="30" t="s">
        <v>75</v>
      </c>
      <c r="E9" s="30" t="s">
        <v>15</v>
      </c>
      <c r="F9" s="30" t="s">
        <v>76</v>
      </c>
      <c r="G9" s="30" t="s">
        <v>77</v>
      </c>
      <c r="H9" s="30" t="s">
        <v>78</v>
      </c>
      <c r="I9" s="30" t="s">
        <v>42</v>
      </c>
      <c r="J9" s="30" t="s">
        <v>43</v>
      </c>
      <c r="K9" s="30" t="s">
        <v>44</v>
      </c>
    </row>
    <row r="10" spans="1:12" ht="15.5" customHeight="1">
      <c r="A10" s="31" t="s">
        <v>89</v>
      </c>
      <c r="B10" s="31" t="s">
        <v>90</v>
      </c>
      <c r="C10" s="31" t="s">
        <v>91</v>
      </c>
      <c r="D10" s="31" t="s">
        <v>92</v>
      </c>
      <c r="E10" s="31" t="s">
        <v>93</v>
      </c>
      <c r="F10" s="31" t="s">
        <v>94</v>
      </c>
      <c r="G10" s="21" t="s">
        <v>95</v>
      </c>
      <c r="H10" s="21" t="s">
        <v>96</v>
      </c>
      <c r="I10" s="21" t="s">
        <v>97</v>
      </c>
      <c r="J10" s="31" t="s">
        <v>98</v>
      </c>
      <c r="K10" s="31" t="s">
        <v>99</v>
      </c>
    </row>
    <row r="11" spans="1:12" ht="15.5" customHeight="1">
      <c r="A11" s="22" t="s">
        <v>8</v>
      </c>
      <c r="B11" s="22" t="s">
        <v>8</v>
      </c>
      <c r="C11" s="22" t="s">
        <v>8</v>
      </c>
      <c r="D11" s="22" t="s">
        <v>8</v>
      </c>
      <c r="E11" s="22" t="s">
        <v>8</v>
      </c>
      <c r="F11" s="22" t="s">
        <v>8</v>
      </c>
      <c r="G11" s="22" t="s">
        <v>8</v>
      </c>
      <c r="H11" s="22" t="s">
        <v>8</v>
      </c>
      <c r="I11" s="22" t="s">
        <v>8</v>
      </c>
      <c r="J11" s="22" t="s">
        <v>8</v>
      </c>
      <c r="K11" s="22" t="s">
        <v>8</v>
      </c>
    </row>
    <row r="12" spans="1:12" ht="25.5" customHeight="1"/>
    <row r="13" spans="1:12" ht="21" customHeight="1">
      <c r="A13" s="216" t="s">
        <v>100</v>
      </c>
      <c r="B13" s="216"/>
      <c r="C13" s="216"/>
      <c r="E13" s="222" t="s">
        <v>101</v>
      </c>
      <c r="F13" s="222"/>
      <c r="G13" s="222"/>
      <c r="I13" s="217" t="s">
        <v>54</v>
      </c>
      <c r="J13" s="217"/>
      <c r="K13" s="217"/>
    </row>
    <row r="14" spans="1:12" ht="9.75" customHeight="1">
      <c r="A14" s="17"/>
      <c r="B14" s="17"/>
      <c r="C14" s="17"/>
      <c r="D14" s="23"/>
      <c r="E14" s="17"/>
      <c r="F14" s="17"/>
      <c r="G14" s="17"/>
      <c r="H14" s="23"/>
      <c r="I14" s="17"/>
      <c r="J14" s="17"/>
      <c r="K14" s="17"/>
      <c r="L14" s="23"/>
    </row>
    <row r="15" spans="1:12" ht="21" customHeight="1">
      <c r="A15" s="219" t="s">
        <v>55</v>
      </c>
      <c r="B15" s="219"/>
      <c r="C15" s="219"/>
      <c r="E15" s="219" t="s">
        <v>55</v>
      </c>
      <c r="F15" s="219"/>
      <c r="G15" s="219"/>
    </row>
    <row r="16" spans="1:12" ht="15" customHeight="1">
      <c r="A16" s="221" t="s">
        <v>102</v>
      </c>
      <c r="B16" s="221"/>
      <c r="C16" s="221"/>
      <c r="E16" s="221" t="s">
        <v>103</v>
      </c>
      <c r="F16" s="221"/>
      <c r="G16" s="221"/>
    </row>
    <row r="17" spans="1:11" ht="15" customHeight="1">
      <c r="A17" s="8" t="s">
        <v>57</v>
      </c>
      <c r="B17" s="8" t="s">
        <v>57</v>
      </c>
      <c r="C17" s="8" t="s">
        <v>57</v>
      </c>
      <c r="E17" s="8" t="s">
        <v>57</v>
      </c>
      <c r="F17" s="8" t="s">
        <v>57</v>
      </c>
      <c r="G17" s="8" t="s">
        <v>57</v>
      </c>
    </row>
    <row r="18" spans="1:11" ht="15" customHeight="1">
      <c r="A18" s="9" t="s">
        <v>104</v>
      </c>
      <c r="B18" s="9" t="s">
        <v>104</v>
      </c>
      <c r="C18" s="9" t="s">
        <v>104</v>
      </c>
      <c r="E18" s="9" t="s">
        <v>105</v>
      </c>
      <c r="F18" s="9" t="s">
        <v>105</v>
      </c>
      <c r="G18" s="9" t="s">
        <v>105</v>
      </c>
    </row>
    <row r="19" spans="1:11" ht="15" customHeight="1">
      <c r="A19" s="13" t="s">
        <v>58</v>
      </c>
      <c r="B19" s="13" t="s">
        <v>59</v>
      </c>
      <c r="C19" s="13" t="s">
        <v>60</v>
      </c>
      <c r="E19" s="13" t="s">
        <v>58</v>
      </c>
      <c r="F19" s="13" t="s">
        <v>59</v>
      </c>
      <c r="G19" s="13" t="s">
        <v>60</v>
      </c>
    </row>
    <row r="20" spans="1:11" ht="9.75" customHeight="1"/>
    <row r="21" spans="1:11" ht="21" customHeight="1">
      <c r="A21" s="220" t="s">
        <v>62</v>
      </c>
      <c r="B21" s="220"/>
      <c r="C21" s="220"/>
      <c r="E21" s="220" t="s">
        <v>62</v>
      </c>
      <c r="F21" s="220"/>
      <c r="G21" s="220"/>
      <c r="I21" s="220" t="s">
        <v>62</v>
      </c>
      <c r="J21" s="220"/>
      <c r="K21" s="220"/>
    </row>
    <row r="22" spans="1:11" ht="15" customHeight="1">
      <c r="A22" s="221" t="s">
        <v>102</v>
      </c>
      <c r="B22" s="221"/>
      <c r="C22" s="221"/>
      <c r="E22" s="221" t="s">
        <v>103</v>
      </c>
      <c r="F22" s="221"/>
      <c r="G22" s="221"/>
      <c r="I22" s="221" t="s">
        <v>63</v>
      </c>
      <c r="J22" s="221"/>
      <c r="K22" s="221"/>
    </row>
    <row r="23" spans="1:11" ht="15" customHeight="1">
      <c r="A23" s="8" t="s">
        <v>57</v>
      </c>
      <c r="B23" s="8" t="s">
        <v>57</v>
      </c>
      <c r="C23" s="8" t="s">
        <v>57</v>
      </c>
      <c r="E23" s="8" t="s">
        <v>57</v>
      </c>
      <c r="F23" s="8" t="s">
        <v>57</v>
      </c>
      <c r="G23" s="8" t="s">
        <v>57</v>
      </c>
      <c r="I23" s="8" t="s">
        <v>57</v>
      </c>
      <c r="J23" s="8" t="s">
        <v>57</v>
      </c>
      <c r="K23" s="8" t="s">
        <v>57</v>
      </c>
    </row>
    <row r="24" spans="1:11" ht="15" customHeight="1">
      <c r="A24" s="9" t="s">
        <v>106</v>
      </c>
      <c r="B24" s="9" t="s">
        <v>106</v>
      </c>
      <c r="C24" s="9" t="s">
        <v>106</v>
      </c>
      <c r="E24" s="9" t="s">
        <v>107</v>
      </c>
      <c r="F24" s="9" t="s">
        <v>107</v>
      </c>
      <c r="G24" s="9" t="s">
        <v>107</v>
      </c>
      <c r="I24" s="9" t="s">
        <v>66</v>
      </c>
      <c r="J24" s="9" t="s">
        <v>66</v>
      </c>
      <c r="K24" s="9" t="s">
        <v>66</v>
      </c>
    </row>
    <row r="25" spans="1:11" ht="15" customHeight="1">
      <c r="A25" s="13" t="s">
        <v>64</v>
      </c>
      <c r="B25" s="13" t="s">
        <v>65</v>
      </c>
      <c r="C25" s="13" t="s">
        <v>60</v>
      </c>
      <c r="E25" s="13" t="s">
        <v>64</v>
      </c>
      <c r="F25" s="13" t="s">
        <v>65</v>
      </c>
      <c r="G25" s="13" t="s">
        <v>60</v>
      </c>
      <c r="I25" s="13" t="s">
        <v>64</v>
      </c>
      <c r="J25" s="13" t="s">
        <v>65</v>
      </c>
      <c r="K25" s="13" t="s">
        <v>60</v>
      </c>
    </row>
    <row r="26" spans="1:11" ht="9.75" customHeight="1"/>
    <row r="27" spans="1:11" ht="21" customHeight="1">
      <c r="A27" s="218" t="s">
        <v>67</v>
      </c>
      <c r="B27" s="218"/>
      <c r="C27" s="218"/>
      <c r="E27" s="218" t="s">
        <v>67</v>
      </c>
      <c r="F27" s="218"/>
      <c r="G27" s="218"/>
      <c r="I27" s="218" t="s">
        <v>67</v>
      </c>
      <c r="J27" s="218"/>
      <c r="K27" s="218"/>
    </row>
    <row r="28" spans="1:11" ht="15" customHeight="1">
      <c r="A28" s="221" t="s">
        <v>102</v>
      </c>
      <c r="B28" s="221"/>
      <c r="C28" s="221"/>
      <c r="E28" s="221" t="s">
        <v>103</v>
      </c>
      <c r="F28" s="221"/>
      <c r="G28" s="221"/>
      <c r="I28" s="221" t="s">
        <v>63</v>
      </c>
      <c r="J28" s="221"/>
      <c r="K28" s="221"/>
    </row>
    <row r="29" spans="1:11" ht="15" customHeight="1">
      <c r="A29" s="8" t="s">
        <v>57</v>
      </c>
      <c r="B29" s="8" t="s">
        <v>57</v>
      </c>
      <c r="C29" s="8" t="s">
        <v>57</v>
      </c>
      <c r="E29" s="8" t="s">
        <v>57</v>
      </c>
      <c r="F29" s="8" t="s">
        <v>57</v>
      </c>
      <c r="G29" s="8" t="s">
        <v>57</v>
      </c>
      <c r="I29" s="8" t="s">
        <v>57</v>
      </c>
      <c r="J29" s="8" t="s">
        <v>57</v>
      </c>
      <c r="K29" s="8" t="s">
        <v>57</v>
      </c>
    </row>
    <row r="30" spans="1:11" ht="15" customHeight="1">
      <c r="A30" s="9" t="s">
        <v>104</v>
      </c>
      <c r="B30" s="9" t="s">
        <v>104</v>
      </c>
      <c r="C30" s="9" t="s">
        <v>104</v>
      </c>
      <c r="E30" s="9" t="s">
        <v>105</v>
      </c>
      <c r="F30" s="9" t="s">
        <v>105</v>
      </c>
      <c r="G30" s="9" t="s">
        <v>105</v>
      </c>
      <c r="I30" s="9" t="s">
        <v>69</v>
      </c>
      <c r="J30" s="9" t="s">
        <v>69</v>
      </c>
      <c r="K30" s="9" t="s">
        <v>69</v>
      </c>
    </row>
    <row r="31" spans="1:11" ht="15" customHeight="1">
      <c r="A31" s="13" t="s">
        <v>58</v>
      </c>
      <c r="B31" s="13" t="s">
        <v>59</v>
      </c>
      <c r="C31" s="13" t="s">
        <v>60</v>
      </c>
      <c r="E31" s="13" t="s">
        <v>58</v>
      </c>
      <c r="F31" s="13" t="s">
        <v>59</v>
      </c>
      <c r="G31" s="13" t="s">
        <v>60</v>
      </c>
      <c r="I31" s="13" t="s">
        <v>58</v>
      </c>
      <c r="J31" s="13" t="s">
        <v>59</v>
      </c>
      <c r="K31" s="13" t="s">
        <v>60</v>
      </c>
    </row>
    <row r="33" spans="9:11">
      <c r="I33" s="5"/>
      <c r="J33" s="5"/>
      <c r="K33" s="5"/>
    </row>
    <row r="34" spans="9:11">
      <c r="J34" s="5"/>
    </row>
    <row r="35" spans="9:11">
      <c r="J35" s="5"/>
    </row>
    <row r="36" spans="9:11">
      <c r="J36" s="5"/>
    </row>
    <row r="37" spans="9:11">
      <c r="J37" s="5"/>
    </row>
    <row r="38" spans="9:11">
      <c r="I38" s="5"/>
      <c r="J38" s="5"/>
      <c r="K38" s="5"/>
    </row>
  </sheetData>
  <mergeCells count="23">
    <mergeCell ref="A28:C28"/>
    <mergeCell ref="E28:G28"/>
    <mergeCell ref="I28:K28"/>
    <mergeCell ref="I21:K21"/>
    <mergeCell ref="A22:C22"/>
    <mergeCell ref="E22:G22"/>
    <mergeCell ref="I22:K22"/>
    <mergeCell ref="A27:C27"/>
    <mergeCell ref="E27:G27"/>
    <mergeCell ref="I27:K27"/>
    <mergeCell ref="A15:C15"/>
    <mergeCell ref="E15:G15"/>
    <mergeCell ref="A16:C16"/>
    <mergeCell ref="E16:G16"/>
    <mergeCell ref="A21:C21"/>
    <mergeCell ref="E21:G21"/>
    <mergeCell ref="A1:H1"/>
    <mergeCell ref="A2:H2"/>
    <mergeCell ref="A7:K7"/>
    <mergeCell ref="A8:K8"/>
    <mergeCell ref="A13:C13"/>
    <mergeCell ref="E13:G13"/>
    <mergeCell ref="I13:K1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B3543-0446-2F49-ADD4-3F6CB0C6E4C3}">
  <dimension ref="A1:G25"/>
  <sheetViews>
    <sheetView showGridLines="0" workbookViewId="0">
      <selection sqref="A1:C1"/>
    </sheetView>
  </sheetViews>
  <sheetFormatPr baseColWidth="10" defaultColWidth="9.1640625" defaultRowHeight="14"/>
  <cols>
    <col min="1" max="3" width="21.33203125" style="20" customWidth="1"/>
    <col min="4" max="4" width="11" style="20" customWidth="1"/>
    <col min="5" max="7" width="21.33203125" style="20" customWidth="1"/>
    <col min="8" max="90" width="7.5" style="20" customWidth="1"/>
    <col min="91" max="16384" width="9.1640625" style="20"/>
  </cols>
  <sheetData>
    <row r="1" spans="1:7" ht="21" customHeight="1">
      <c r="A1" s="209" t="s">
        <v>108</v>
      </c>
      <c r="B1" s="209"/>
      <c r="C1" s="209"/>
      <c r="E1" s="225" t="s">
        <v>109</v>
      </c>
      <c r="F1" s="225"/>
      <c r="G1" s="225"/>
    </row>
    <row r="2" spans="1:7" ht="9.75" customHeight="1"/>
    <row r="3" spans="1:7" ht="21" customHeight="1">
      <c r="A3" s="226" t="s">
        <v>62</v>
      </c>
      <c r="B3" s="226"/>
      <c r="C3" s="226"/>
      <c r="E3" s="226" t="s">
        <v>62</v>
      </c>
      <c r="F3" s="226"/>
      <c r="G3" s="226"/>
    </row>
    <row r="4" spans="1:7" ht="15" customHeight="1">
      <c r="A4" s="224" t="s">
        <v>110</v>
      </c>
      <c r="B4" s="224"/>
      <c r="C4" s="224"/>
      <c r="E4" s="224" t="s">
        <v>111</v>
      </c>
      <c r="F4" s="224"/>
      <c r="G4" s="224"/>
    </row>
    <row r="5" spans="1:7" ht="15" customHeight="1">
      <c r="A5" s="32" t="s">
        <v>57</v>
      </c>
      <c r="B5" s="32" t="s">
        <v>57</v>
      </c>
      <c r="C5" s="32" t="s">
        <v>57</v>
      </c>
      <c r="E5" s="32" t="s">
        <v>57</v>
      </c>
      <c r="F5" s="32" t="s">
        <v>57</v>
      </c>
      <c r="G5" s="32" t="s">
        <v>57</v>
      </c>
    </row>
    <row r="6" spans="1:7" ht="15" customHeight="1">
      <c r="A6" s="33" t="s">
        <v>112</v>
      </c>
      <c r="B6" s="33" t="s">
        <v>112</v>
      </c>
      <c r="C6" s="33" t="s">
        <v>112</v>
      </c>
      <c r="E6" s="33" t="s">
        <v>113</v>
      </c>
      <c r="F6" s="33" t="s">
        <v>113</v>
      </c>
      <c r="G6" s="33" t="s">
        <v>113</v>
      </c>
    </row>
    <row r="7" spans="1:7" ht="15" customHeight="1">
      <c r="A7" s="34" t="s">
        <v>64</v>
      </c>
      <c r="B7" s="34" t="s">
        <v>65</v>
      </c>
      <c r="C7" s="34" t="s">
        <v>60</v>
      </c>
      <c r="E7" s="34" t="s">
        <v>64</v>
      </c>
      <c r="F7" s="34" t="s">
        <v>65</v>
      </c>
      <c r="G7" s="34" t="s">
        <v>60</v>
      </c>
    </row>
    <row r="8" spans="1:7" ht="9.75" customHeight="1"/>
    <row r="9" spans="1:7" ht="21" customHeight="1">
      <c r="A9" s="223" t="s">
        <v>67</v>
      </c>
      <c r="B9" s="223"/>
      <c r="C9" s="223"/>
      <c r="E9" s="223" t="s">
        <v>67</v>
      </c>
      <c r="F9" s="223"/>
      <c r="G9" s="223"/>
    </row>
    <row r="10" spans="1:7" ht="15" customHeight="1">
      <c r="A10" s="224" t="s">
        <v>110</v>
      </c>
      <c r="B10" s="224"/>
      <c r="C10" s="224"/>
      <c r="E10" s="224" t="s">
        <v>111</v>
      </c>
      <c r="F10" s="224"/>
      <c r="G10" s="224"/>
    </row>
    <row r="11" spans="1:7" ht="15" customHeight="1">
      <c r="A11" s="32" t="s">
        <v>57</v>
      </c>
      <c r="B11" s="32" t="s">
        <v>57</v>
      </c>
      <c r="C11" s="32" t="s">
        <v>57</v>
      </c>
      <c r="E11" s="32" t="s">
        <v>57</v>
      </c>
      <c r="F11" s="32" t="s">
        <v>57</v>
      </c>
      <c r="G11" s="32" t="s">
        <v>57</v>
      </c>
    </row>
    <row r="12" spans="1:7" ht="15" customHeight="1">
      <c r="A12" s="33" t="s">
        <v>114</v>
      </c>
      <c r="B12" s="33" t="s">
        <v>114</v>
      </c>
      <c r="C12" s="33" t="s">
        <v>114</v>
      </c>
      <c r="E12" s="33" t="s">
        <v>115</v>
      </c>
      <c r="F12" s="33" t="s">
        <v>115</v>
      </c>
      <c r="G12" s="33" t="s">
        <v>115</v>
      </c>
    </row>
    <row r="13" spans="1:7" ht="15" customHeight="1">
      <c r="A13" s="34" t="s">
        <v>58</v>
      </c>
      <c r="B13" s="34" t="s">
        <v>59</v>
      </c>
      <c r="C13" s="34" t="s">
        <v>60</v>
      </c>
      <c r="E13" s="34" t="s">
        <v>58</v>
      </c>
      <c r="F13" s="34" t="s">
        <v>59</v>
      </c>
      <c r="G13" s="34" t="s">
        <v>60</v>
      </c>
    </row>
    <row r="14" spans="1:7" ht="9.75" customHeight="1"/>
    <row r="15" spans="1:7" ht="15" customHeight="1"/>
    <row r="16" spans="1:7" ht="15" customHeight="1"/>
    <row r="17" ht="15" customHeight="1"/>
    <row r="18" ht="15" customHeight="1"/>
    <row r="19" ht="15" customHeight="1"/>
    <row r="20" ht="9.75" customHeight="1"/>
    <row r="21" ht="15" customHeight="1"/>
    <row r="22" ht="15" customHeight="1"/>
    <row r="23" ht="15" customHeight="1"/>
    <row r="24" ht="15" customHeight="1"/>
    <row r="25" ht="15" customHeight="1"/>
  </sheetData>
  <mergeCells count="10">
    <mergeCell ref="A9:C9"/>
    <mergeCell ref="E9:G9"/>
    <mergeCell ref="A10:C10"/>
    <mergeCell ref="E10:G10"/>
    <mergeCell ref="A1:C1"/>
    <mergeCell ref="E1:G1"/>
    <mergeCell ref="A3:C3"/>
    <mergeCell ref="E3:G3"/>
    <mergeCell ref="A4:C4"/>
    <mergeCell ref="E4:G4"/>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7ADF-7040-B545-B0FA-126A3D640A4C}">
  <dimension ref="A1:C19"/>
  <sheetViews>
    <sheetView showGridLines="0" workbookViewId="0">
      <selection sqref="A1:C1"/>
    </sheetView>
  </sheetViews>
  <sheetFormatPr baseColWidth="10" defaultRowHeight="15"/>
  <cols>
    <col min="1" max="1" width="27" customWidth="1"/>
    <col min="2" max="2" width="11" customWidth="1"/>
    <col min="3" max="3" width="27" bestFit="1" customWidth="1"/>
    <col min="4" max="256" width="8.83203125" customWidth="1"/>
  </cols>
  <sheetData>
    <row r="1" spans="1:3" s="5" customFormat="1" ht="18">
      <c r="A1" s="217" t="s">
        <v>116</v>
      </c>
      <c r="B1" s="217"/>
      <c r="C1" s="217"/>
    </row>
    <row r="2" spans="1:3" s="5" customFormat="1" ht="13"/>
    <row r="3" spans="1:3" s="5" customFormat="1" ht="21" customHeight="1">
      <c r="A3" s="24" t="s">
        <v>117</v>
      </c>
      <c r="C3" s="25" t="s">
        <v>118</v>
      </c>
    </row>
    <row r="4" spans="1:3" s="5" customFormat="1" ht="15" customHeight="1">
      <c r="A4" s="35" t="s">
        <v>119</v>
      </c>
      <c r="C4" s="35" t="s">
        <v>120</v>
      </c>
    </row>
    <row r="5" spans="1:3" s="5" customFormat="1" ht="15" customHeight="1">
      <c r="A5" s="36" t="s">
        <v>121</v>
      </c>
      <c r="C5" s="36" t="s">
        <v>122</v>
      </c>
    </row>
    <row r="6" spans="1:3" s="5" customFormat="1" ht="15" customHeight="1">
      <c r="A6" s="37" t="s">
        <v>8</v>
      </c>
      <c r="C6" s="37" t="s">
        <v>8</v>
      </c>
    </row>
    <row r="7" spans="1:3" s="5" customFormat="1" ht="13"/>
    <row r="8" spans="1:3" s="5" customFormat="1" ht="21" customHeight="1">
      <c r="A8" s="25" t="s">
        <v>123</v>
      </c>
      <c r="C8" s="25" t="s">
        <v>124</v>
      </c>
    </row>
    <row r="9" spans="1:3" s="5" customFormat="1" ht="15" customHeight="1">
      <c r="A9" s="35" t="s">
        <v>125</v>
      </c>
      <c r="C9" s="35" t="s">
        <v>57</v>
      </c>
    </row>
    <row r="10" spans="1:3" s="5" customFormat="1" ht="15" customHeight="1">
      <c r="A10" s="36" t="s">
        <v>126</v>
      </c>
      <c r="B10" s="10"/>
      <c r="C10" s="36" t="s">
        <v>127</v>
      </c>
    </row>
    <row r="11" spans="1:3" s="5" customFormat="1" ht="15" customHeight="1">
      <c r="A11" s="37" t="s">
        <v>60</v>
      </c>
      <c r="C11" s="37" t="s">
        <v>60</v>
      </c>
    </row>
    <row r="12" spans="1:3" s="5" customFormat="1" ht="13"/>
    <row r="13" spans="1:3" s="5" customFormat="1" ht="21" customHeight="1">
      <c r="A13" s="25" t="s">
        <v>128</v>
      </c>
      <c r="C13" s="25" t="s">
        <v>129</v>
      </c>
    </row>
    <row r="14" spans="1:3" s="5" customFormat="1" ht="15" customHeight="1">
      <c r="A14" s="35" t="s">
        <v>57</v>
      </c>
      <c r="C14" s="35" t="s">
        <v>57</v>
      </c>
    </row>
    <row r="15" spans="1:3" s="5" customFormat="1" ht="15" customHeight="1">
      <c r="A15" s="36" t="s">
        <v>130</v>
      </c>
      <c r="C15" s="36" t="s">
        <v>131</v>
      </c>
    </row>
    <row r="16" spans="1:3" s="5" customFormat="1" ht="15" customHeight="1">
      <c r="A16" s="37" t="s">
        <v>60</v>
      </c>
      <c r="C16" s="37" t="s">
        <v>60</v>
      </c>
    </row>
    <row r="17" s="5" customFormat="1" ht="13"/>
    <row r="18" s="5" customFormat="1" ht="13"/>
    <row r="19" s="5" customFormat="1" ht="13"/>
  </sheetData>
  <mergeCells count="1">
    <mergeCell ref="A1:C1"/>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6A67-167C-6F4B-B94A-78AC789EB519}">
  <dimension ref="B1:V89"/>
  <sheetViews>
    <sheetView showGridLines="0" topLeftCell="A64" zoomScale="70" zoomScaleNormal="70" workbookViewId="0">
      <pane xSplit="3" topLeftCell="D1" activePane="topRight" state="frozen"/>
      <selection pane="topRight" activeCell="B3" sqref="B3"/>
    </sheetView>
  </sheetViews>
  <sheetFormatPr baseColWidth="10" defaultRowHeight="15"/>
  <cols>
    <col min="1" max="1" width="8.83203125" customWidth="1"/>
    <col min="2" max="2" width="12.6640625" customWidth="1"/>
    <col min="3" max="3" width="2.6640625" customWidth="1"/>
    <col min="4" max="4" width="14.6640625" customWidth="1"/>
    <col min="5" max="5" width="18.5" customWidth="1"/>
    <col min="6" max="15" width="14.6640625" customWidth="1"/>
    <col min="16" max="256" width="8.83203125" customWidth="1"/>
  </cols>
  <sheetData>
    <row r="1" spans="2:22">
      <c r="V1" t="s">
        <v>223</v>
      </c>
    </row>
    <row r="2" spans="2:22" ht="42" customHeight="1">
      <c r="B2" s="20"/>
      <c r="C2" s="65"/>
      <c r="D2" s="230" t="s">
        <v>244</v>
      </c>
      <c r="E2" s="230"/>
      <c r="F2" s="66"/>
      <c r="G2" s="66"/>
      <c r="H2" s="66"/>
      <c r="I2" s="66"/>
      <c r="J2" s="66"/>
      <c r="K2" s="66"/>
      <c r="L2" s="66"/>
      <c r="M2" s="66"/>
      <c r="N2" s="66"/>
      <c r="O2" s="66"/>
      <c r="V2" t="s">
        <v>225</v>
      </c>
    </row>
    <row r="3" spans="2:22" ht="51" customHeight="1">
      <c r="B3" s="20"/>
      <c r="C3" s="67"/>
      <c r="D3" s="195" t="s">
        <v>242</v>
      </c>
      <c r="E3" s="195"/>
      <c r="F3" s="66"/>
      <c r="G3" s="66"/>
      <c r="H3" s="66"/>
      <c r="I3" s="66"/>
      <c r="J3" s="66"/>
      <c r="K3" s="66"/>
      <c r="L3" s="66"/>
      <c r="M3" s="66"/>
      <c r="N3" s="66"/>
      <c r="O3" s="66"/>
      <c r="V3" t="s">
        <v>224</v>
      </c>
    </row>
    <row r="4" spans="2:22" ht="31.5" customHeight="1">
      <c r="B4" s="196" t="s">
        <v>229</v>
      </c>
      <c r="C4" s="196"/>
      <c r="D4" s="68" t="s">
        <v>230</v>
      </c>
      <c r="E4" s="69" t="s">
        <v>243</v>
      </c>
      <c r="F4" s="66"/>
      <c r="G4" s="66"/>
      <c r="H4" s="66"/>
      <c r="I4" s="66"/>
      <c r="J4" s="66"/>
      <c r="K4" s="66"/>
      <c r="L4" s="66"/>
      <c r="M4" s="66"/>
      <c r="N4" s="66"/>
      <c r="O4" s="66"/>
      <c r="V4" t="s">
        <v>226</v>
      </c>
    </row>
    <row r="5" spans="2:22" ht="18" customHeight="1">
      <c r="B5" s="87">
        <v>4</v>
      </c>
      <c r="C5" s="70"/>
      <c r="D5" s="71">
        <f t="shared" ref="D5:D22" si="0">(PI()*(B5/2)^2)/144</f>
        <v>8.7266462599716474E-2</v>
      </c>
      <c r="E5" s="72">
        <f t="shared" ref="E5:E22" si="1">AVERAGE(E26,G26,I26,K26,M26,O26,E48,G48,I48,K48,M48,O48,E70,G70,I70,K70)</f>
        <v>1.9955555555555557</v>
      </c>
      <c r="F5" s="66"/>
      <c r="G5" s="66"/>
      <c r="H5" s="66"/>
      <c r="I5" s="66"/>
      <c r="J5" s="66"/>
      <c r="K5" s="66"/>
      <c r="L5" s="66"/>
      <c r="M5" s="66"/>
      <c r="N5" s="66"/>
      <c r="O5" s="66"/>
      <c r="V5" t="s">
        <v>455</v>
      </c>
    </row>
    <row r="6" spans="2:22" ht="18" customHeight="1">
      <c r="B6" s="84">
        <v>5</v>
      </c>
      <c r="C6" s="73"/>
      <c r="D6" s="74">
        <f t="shared" si="0"/>
        <v>0.13635384781205701</v>
      </c>
      <c r="E6" s="75">
        <f t="shared" si="1"/>
        <v>2.1564285714285716</v>
      </c>
      <c r="F6" s="66"/>
      <c r="G6" s="66"/>
      <c r="H6" s="66"/>
      <c r="I6" s="66"/>
      <c r="J6" s="66"/>
      <c r="K6" s="66"/>
      <c r="L6" s="66"/>
      <c r="M6" s="66"/>
      <c r="N6" s="66"/>
      <c r="O6" s="66"/>
      <c r="V6" t="s">
        <v>456</v>
      </c>
    </row>
    <row r="7" spans="2:22" ht="18" customHeight="1">
      <c r="B7" s="87">
        <v>6</v>
      </c>
      <c r="C7" s="70"/>
      <c r="D7" s="71">
        <f t="shared" si="0"/>
        <v>0.19634954084936207</v>
      </c>
      <c r="E7" s="72">
        <f t="shared" si="1"/>
        <v>2.3918750000000002</v>
      </c>
      <c r="F7" s="66"/>
      <c r="G7" s="66"/>
      <c r="H7" s="66"/>
      <c r="I7" s="66"/>
      <c r="J7" s="66"/>
      <c r="K7" s="66"/>
      <c r="L7" s="66"/>
      <c r="M7" s="66"/>
      <c r="N7" s="66"/>
      <c r="O7" s="66"/>
      <c r="V7" t="s">
        <v>457</v>
      </c>
    </row>
    <row r="8" spans="2:22" ht="18" customHeight="1">
      <c r="B8" s="84">
        <v>7</v>
      </c>
      <c r="C8" s="73"/>
      <c r="D8" s="74">
        <f t="shared" si="0"/>
        <v>0.26725354171163168</v>
      </c>
      <c r="E8" s="75">
        <f t="shared" si="1"/>
        <v>2.3854545454545457</v>
      </c>
      <c r="F8" s="66"/>
      <c r="G8" s="66"/>
      <c r="H8" s="66"/>
      <c r="I8" s="66"/>
      <c r="J8" s="66"/>
      <c r="K8" s="66"/>
      <c r="L8" s="66"/>
      <c r="M8" s="66"/>
      <c r="N8" s="66"/>
      <c r="O8" s="66"/>
      <c r="V8" t="s">
        <v>233</v>
      </c>
    </row>
    <row r="9" spans="2:22" ht="18" customHeight="1">
      <c r="B9" s="87">
        <v>8</v>
      </c>
      <c r="C9" s="70"/>
      <c r="D9" s="71">
        <f t="shared" si="0"/>
        <v>0.3490658503988659</v>
      </c>
      <c r="E9" s="72">
        <f t="shared" si="1"/>
        <v>2.1875</v>
      </c>
      <c r="F9" s="66"/>
      <c r="G9" s="66"/>
      <c r="H9" s="66"/>
      <c r="I9" s="66"/>
      <c r="J9" s="66"/>
      <c r="K9" s="66"/>
      <c r="L9" s="66"/>
      <c r="M9" s="66"/>
      <c r="N9" s="66"/>
      <c r="O9" s="66"/>
      <c r="V9" t="s">
        <v>234</v>
      </c>
    </row>
    <row r="10" spans="2:22" ht="18" customHeight="1">
      <c r="B10" s="84">
        <v>9</v>
      </c>
      <c r="C10" s="73"/>
      <c r="D10" s="74">
        <f t="shared" si="0"/>
        <v>0.44178646691106466</v>
      </c>
      <c r="E10" s="75">
        <f t="shared" si="1"/>
        <v>2.3000000000000003</v>
      </c>
      <c r="F10" s="66"/>
      <c r="G10" s="66"/>
      <c r="H10" s="66"/>
      <c r="I10" s="66"/>
      <c r="J10" s="66"/>
      <c r="K10" s="66"/>
      <c r="L10" s="66"/>
      <c r="M10" s="66"/>
      <c r="N10" s="66"/>
      <c r="O10" s="66"/>
      <c r="V10" t="s">
        <v>235</v>
      </c>
    </row>
    <row r="11" spans="2:22" ht="18" customHeight="1">
      <c r="B11" s="87">
        <v>10</v>
      </c>
      <c r="C11" s="70"/>
      <c r="D11" s="71">
        <f t="shared" si="0"/>
        <v>0.54541539124822802</v>
      </c>
      <c r="E11" s="72">
        <f t="shared" si="1"/>
        <v>2.1825000000000001</v>
      </c>
      <c r="F11" s="66"/>
      <c r="G11" s="66"/>
      <c r="H11" s="66"/>
      <c r="I11" s="66"/>
      <c r="J11" s="66"/>
      <c r="K11" s="66"/>
      <c r="L11" s="66"/>
      <c r="M11" s="66"/>
      <c r="N11" s="66"/>
      <c r="O11" s="66"/>
      <c r="V11" t="s">
        <v>459</v>
      </c>
    </row>
    <row r="12" spans="2:22" ht="18" customHeight="1">
      <c r="B12" s="84">
        <v>12</v>
      </c>
      <c r="C12" s="73"/>
      <c r="D12" s="74">
        <f t="shared" si="0"/>
        <v>0.78539816339744828</v>
      </c>
      <c r="E12" s="75">
        <f t="shared" si="1"/>
        <v>2.36375</v>
      </c>
      <c r="F12" s="66"/>
      <c r="G12" s="66"/>
      <c r="H12" s="66"/>
      <c r="I12" s="66"/>
      <c r="J12" s="66"/>
      <c r="K12" s="66"/>
      <c r="L12" s="66"/>
      <c r="M12" s="66"/>
      <c r="N12" s="66"/>
      <c r="O12" s="66"/>
      <c r="V12" t="s">
        <v>236</v>
      </c>
    </row>
    <row r="13" spans="2:22" ht="18" customHeight="1">
      <c r="B13" s="87">
        <v>14</v>
      </c>
      <c r="C13" s="70"/>
      <c r="D13" s="71">
        <f t="shared" si="0"/>
        <v>1.0690141668465267</v>
      </c>
      <c r="E13" s="72">
        <f t="shared" si="1"/>
        <v>2.2575000000000003</v>
      </c>
      <c r="F13" s="66"/>
      <c r="G13" s="66"/>
      <c r="H13" s="66"/>
      <c r="I13" s="66"/>
      <c r="J13" s="66"/>
      <c r="K13" s="66"/>
      <c r="L13" s="66"/>
      <c r="M13" s="66"/>
      <c r="N13" s="66"/>
      <c r="O13" s="66"/>
      <c r="V13" t="s">
        <v>237</v>
      </c>
    </row>
    <row r="14" spans="2:22" ht="18" customHeight="1">
      <c r="B14" s="84">
        <v>16</v>
      </c>
      <c r="C14" s="73"/>
      <c r="D14" s="74">
        <f t="shared" si="0"/>
        <v>1.3962634015954636</v>
      </c>
      <c r="E14" s="75">
        <f t="shared" si="1"/>
        <v>2.1999999999999997</v>
      </c>
      <c r="F14" s="66"/>
      <c r="G14" s="66"/>
      <c r="H14" s="66"/>
      <c r="I14" s="66"/>
      <c r="J14" s="66"/>
      <c r="K14" s="66"/>
      <c r="L14" s="66"/>
      <c r="M14" s="66"/>
      <c r="N14" s="66"/>
      <c r="O14" s="66"/>
      <c r="V14" t="s">
        <v>238</v>
      </c>
    </row>
    <row r="15" spans="2:22" ht="18" customHeight="1">
      <c r="B15" s="87">
        <v>18</v>
      </c>
      <c r="C15" s="70"/>
      <c r="D15" s="71">
        <f t="shared" si="0"/>
        <v>1.7671458676442586</v>
      </c>
      <c r="E15" s="72">
        <f t="shared" si="1"/>
        <v>2.0680000000000001</v>
      </c>
      <c r="F15" s="66"/>
      <c r="G15" s="66"/>
      <c r="H15" s="66"/>
      <c r="I15" s="66"/>
      <c r="J15" s="66"/>
      <c r="K15" s="66"/>
      <c r="L15" s="66"/>
      <c r="M15" s="66"/>
      <c r="N15" s="66"/>
      <c r="O15" s="66"/>
      <c r="V15" t="s">
        <v>239</v>
      </c>
    </row>
    <row r="16" spans="2:22" ht="18" customHeight="1">
      <c r="B16" s="84">
        <v>19</v>
      </c>
      <c r="C16" s="73"/>
      <c r="D16" s="74">
        <f t="shared" si="0"/>
        <v>1.9689495624061029</v>
      </c>
      <c r="E16" s="75">
        <f t="shared" si="1"/>
        <v>2.92</v>
      </c>
      <c r="F16" s="66"/>
      <c r="G16" s="66"/>
      <c r="H16" s="66"/>
      <c r="I16" s="66"/>
      <c r="J16" s="66"/>
      <c r="K16" s="66"/>
      <c r="L16" s="66"/>
      <c r="M16" s="66"/>
      <c r="N16" s="66"/>
      <c r="O16" s="66"/>
      <c r="V16" t="s">
        <v>240</v>
      </c>
    </row>
    <row r="17" spans="2:22" ht="18" customHeight="1">
      <c r="B17" s="87">
        <v>20</v>
      </c>
      <c r="C17" s="70"/>
      <c r="D17" s="71">
        <f t="shared" si="0"/>
        <v>2.1816615649929121</v>
      </c>
      <c r="E17" s="72">
        <f t="shared" si="1"/>
        <v>1.8250000000000002</v>
      </c>
      <c r="F17" s="66"/>
      <c r="G17" s="66"/>
      <c r="H17" s="66"/>
      <c r="I17" s="66"/>
      <c r="J17" s="66"/>
      <c r="K17" s="66"/>
      <c r="L17" s="66"/>
      <c r="M17" s="66"/>
      <c r="N17" s="66"/>
      <c r="O17" s="66"/>
      <c r="V17" t="s">
        <v>458</v>
      </c>
    </row>
    <row r="18" spans="2:22" ht="18" customHeight="1">
      <c r="B18" s="84">
        <v>22</v>
      </c>
      <c r="C18" s="73"/>
      <c r="D18" s="74">
        <f t="shared" si="0"/>
        <v>2.6398104936414235</v>
      </c>
      <c r="E18" s="75">
        <f t="shared" si="1"/>
        <v>2.3166666666666669</v>
      </c>
      <c r="F18" s="66"/>
      <c r="G18" s="66"/>
      <c r="H18" s="66"/>
      <c r="I18" s="66"/>
      <c r="J18" s="66"/>
      <c r="K18" s="66"/>
      <c r="L18" s="66"/>
      <c r="M18" s="66"/>
      <c r="N18" s="66"/>
      <c r="O18" s="66"/>
    </row>
    <row r="19" spans="2:22" ht="18" customHeight="1">
      <c r="B19" s="87">
        <v>24</v>
      </c>
      <c r="C19" s="70"/>
      <c r="D19" s="71">
        <f t="shared" si="0"/>
        <v>3.1415926535897931</v>
      </c>
      <c r="E19" s="72">
        <f t="shared" si="1"/>
        <v>1.75</v>
      </c>
      <c r="F19" s="66"/>
      <c r="G19" s="66"/>
      <c r="H19" s="66"/>
      <c r="I19" s="66"/>
      <c r="J19" s="66"/>
      <c r="K19" s="66"/>
      <c r="L19" s="66"/>
      <c r="M19" s="66"/>
      <c r="N19" s="66"/>
      <c r="O19" s="66"/>
    </row>
    <row r="20" spans="2:22" ht="18" customHeight="1">
      <c r="B20" s="84">
        <v>26</v>
      </c>
      <c r="C20" s="73"/>
      <c r="D20" s="74">
        <f t="shared" si="0"/>
        <v>3.6870080448380214</v>
      </c>
      <c r="E20" s="75">
        <f t="shared" si="1"/>
        <v>2.57</v>
      </c>
      <c r="F20" s="66"/>
      <c r="G20" s="66"/>
      <c r="H20" s="66"/>
      <c r="I20" s="66"/>
      <c r="J20" s="66"/>
      <c r="K20" s="66"/>
      <c r="L20" s="66"/>
      <c r="M20" s="66"/>
      <c r="N20" s="66"/>
      <c r="O20" s="66"/>
    </row>
    <row r="21" spans="2:22" ht="18" customHeight="1">
      <c r="B21" s="87">
        <v>30</v>
      </c>
      <c r="C21" s="70"/>
      <c r="D21" s="71">
        <f t="shared" si="0"/>
        <v>4.908738521234052</v>
      </c>
      <c r="E21" s="72">
        <f t="shared" si="1"/>
        <v>3</v>
      </c>
      <c r="F21" s="66"/>
      <c r="G21" s="66"/>
      <c r="H21" s="66"/>
      <c r="I21" s="66"/>
      <c r="J21" s="66"/>
      <c r="K21" s="66"/>
      <c r="L21" s="66"/>
      <c r="M21" s="66"/>
      <c r="N21" s="66"/>
      <c r="O21" s="66"/>
    </row>
    <row r="22" spans="2:22" ht="18" customHeight="1">
      <c r="B22" s="88">
        <v>40</v>
      </c>
      <c r="C22" s="76"/>
      <c r="D22" s="77">
        <f t="shared" si="0"/>
        <v>8.7266462599716483</v>
      </c>
      <c r="E22" s="78">
        <f t="shared" si="1"/>
        <v>2.2200000000000002</v>
      </c>
      <c r="F22" s="66"/>
      <c r="G22" s="66"/>
      <c r="H22" s="66"/>
      <c r="I22" s="66"/>
      <c r="J22" s="66"/>
      <c r="K22" s="66"/>
      <c r="L22" s="66"/>
      <c r="M22" s="66"/>
      <c r="N22" s="66"/>
      <c r="O22" s="66"/>
    </row>
    <row r="23" spans="2:22" ht="18" customHeight="1">
      <c r="B23" s="20"/>
      <c r="C23" s="20"/>
      <c r="D23" s="197" t="s">
        <v>223</v>
      </c>
      <c r="E23" s="198"/>
      <c r="F23" s="197" t="s">
        <v>224</v>
      </c>
      <c r="G23" s="198"/>
      <c r="H23" s="227" t="s">
        <v>225</v>
      </c>
      <c r="I23" s="228"/>
      <c r="J23" s="227" t="s">
        <v>226</v>
      </c>
      <c r="K23" s="229"/>
      <c r="L23" s="227" t="s">
        <v>227</v>
      </c>
      <c r="M23" s="229"/>
      <c r="N23" s="227" t="s">
        <v>228</v>
      </c>
      <c r="O23" s="228"/>
    </row>
    <row r="24" spans="2:22" ht="42" customHeight="1">
      <c r="B24" s="199" t="s">
        <v>229</v>
      </c>
      <c r="C24" s="199"/>
      <c r="D24" s="197"/>
      <c r="E24" s="198"/>
      <c r="F24" s="197"/>
      <c r="G24" s="198"/>
      <c r="H24" s="227"/>
      <c r="I24" s="228"/>
      <c r="J24" s="227"/>
      <c r="K24" s="229"/>
      <c r="L24" s="227"/>
      <c r="M24" s="229"/>
      <c r="N24" s="227"/>
      <c r="O24" s="228"/>
    </row>
    <row r="25" spans="2:22" ht="18" customHeight="1">
      <c r="B25" s="199"/>
      <c r="C25" s="199"/>
      <c r="D25" s="68" t="s">
        <v>230</v>
      </c>
      <c r="E25" s="79" t="s">
        <v>231</v>
      </c>
      <c r="F25" s="68" t="s">
        <v>230</v>
      </c>
      <c r="G25" s="79" t="s">
        <v>231</v>
      </c>
      <c r="H25" s="68" t="s">
        <v>230</v>
      </c>
      <c r="I25" s="80" t="s">
        <v>231</v>
      </c>
      <c r="J25" s="68" t="s">
        <v>230</v>
      </c>
      <c r="K25" s="79" t="s">
        <v>231</v>
      </c>
      <c r="L25" s="68" t="s">
        <v>230</v>
      </c>
      <c r="M25" s="79" t="s">
        <v>231</v>
      </c>
      <c r="N25" s="68" t="s">
        <v>230</v>
      </c>
      <c r="O25" s="80" t="s">
        <v>231</v>
      </c>
    </row>
    <row r="26" spans="2:22" ht="18" customHeight="1">
      <c r="B26" s="81">
        <v>4</v>
      </c>
      <c r="C26" s="82"/>
      <c r="D26" s="44" t="s">
        <v>32</v>
      </c>
      <c r="E26" s="45" t="s">
        <v>32</v>
      </c>
      <c r="F26" s="44" t="s">
        <v>32</v>
      </c>
      <c r="G26" s="45" t="s">
        <v>32</v>
      </c>
      <c r="H26" s="44" t="s">
        <v>32</v>
      </c>
      <c r="I26" s="46" t="s">
        <v>32</v>
      </c>
      <c r="J26" s="70">
        <v>0.09</v>
      </c>
      <c r="K26" s="83">
        <v>2.2599999999999998</v>
      </c>
      <c r="L26" s="70">
        <v>0.09</v>
      </c>
      <c r="M26" s="83">
        <v>1</v>
      </c>
      <c r="N26" s="70">
        <v>0.09</v>
      </c>
      <c r="O26" s="72">
        <v>1.71</v>
      </c>
    </row>
    <row r="27" spans="2:22" ht="18" customHeight="1">
      <c r="B27" s="84">
        <v>5</v>
      </c>
      <c r="C27" s="85"/>
      <c r="D27" s="73">
        <v>0.13</v>
      </c>
      <c r="E27" s="86">
        <v>3.28</v>
      </c>
      <c r="F27" s="73">
        <v>0.13</v>
      </c>
      <c r="G27" s="86">
        <v>2.42</v>
      </c>
      <c r="H27" s="73">
        <v>0.13</v>
      </c>
      <c r="I27" s="75">
        <v>2.42</v>
      </c>
      <c r="J27" s="73">
        <v>0.14000000000000001</v>
      </c>
      <c r="K27" s="86">
        <v>2.2599999999999998</v>
      </c>
      <c r="L27" s="73">
        <v>0.14000000000000001</v>
      </c>
      <c r="M27" s="86">
        <v>1.47</v>
      </c>
      <c r="N27" s="73">
        <v>0.14000000000000001</v>
      </c>
      <c r="O27" s="75">
        <v>1.69</v>
      </c>
    </row>
    <row r="28" spans="2:22" ht="18" customHeight="1">
      <c r="B28" s="87">
        <v>6</v>
      </c>
      <c r="C28" s="82"/>
      <c r="D28" s="70">
        <v>0.19</v>
      </c>
      <c r="E28" s="83">
        <v>2.58</v>
      </c>
      <c r="F28" s="70">
        <v>0.19</v>
      </c>
      <c r="G28" s="83">
        <v>2.37</v>
      </c>
      <c r="H28" s="70">
        <v>0.19</v>
      </c>
      <c r="I28" s="72">
        <v>2.37</v>
      </c>
      <c r="J28" s="70">
        <v>0.2</v>
      </c>
      <c r="K28" s="83">
        <v>2.4500000000000002</v>
      </c>
      <c r="L28" s="70">
        <v>0.2</v>
      </c>
      <c r="M28" s="83">
        <v>2.8</v>
      </c>
      <c r="N28" s="70">
        <v>0.2</v>
      </c>
      <c r="O28" s="72">
        <v>1.67</v>
      </c>
    </row>
    <row r="29" spans="2:22" ht="18" customHeight="1">
      <c r="B29" s="84">
        <v>7</v>
      </c>
      <c r="C29" s="85"/>
      <c r="D29" s="73">
        <v>0.26</v>
      </c>
      <c r="E29" s="86">
        <v>2.85</v>
      </c>
      <c r="F29" s="73">
        <v>0.26</v>
      </c>
      <c r="G29" s="86">
        <v>2.4</v>
      </c>
      <c r="H29" s="73">
        <v>0.26</v>
      </c>
      <c r="I29" s="75">
        <v>2.4</v>
      </c>
      <c r="J29" s="73">
        <v>0.27</v>
      </c>
      <c r="K29" s="86">
        <v>2.27</v>
      </c>
      <c r="L29" s="73">
        <v>0.27</v>
      </c>
      <c r="M29" s="86">
        <v>2.34</v>
      </c>
      <c r="N29" s="47" t="s">
        <v>32</v>
      </c>
      <c r="O29" s="48" t="s">
        <v>32</v>
      </c>
    </row>
    <row r="30" spans="2:22" ht="18" customHeight="1">
      <c r="B30" s="87">
        <v>8</v>
      </c>
      <c r="C30" s="82"/>
      <c r="D30" s="70">
        <v>0.34</v>
      </c>
      <c r="E30" s="83">
        <v>2.44</v>
      </c>
      <c r="F30" s="70">
        <v>0.34</v>
      </c>
      <c r="G30" s="83">
        <v>2.2000000000000002</v>
      </c>
      <c r="H30" s="70">
        <v>0.34</v>
      </c>
      <c r="I30" s="72">
        <v>2.2000000000000002</v>
      </c>
      <c r="J30" s="70">
        <v>0.35</v>
      </c>
      <c r="K30" s="83">
        <v>2.27</v>
      </c>
      <c r="L30" s="70">
        <v>0.35</v>
      </c>
      <c r="M30" s="83">
        <v>2.2400000000000002</v>
      </c>
      <c r="N30" s="70">
        <v>0.35</v>
      </c>
      <c r="O30" s="72">
        <v>1.61</v>
      </c>
    </row>
    <row r="31" spans="2:22" ht="18" customHeight="1">
      <c r="B31" s="84">
        <v>9</v>
      </c>
      <c r="C31" s="85"/>
      <c r="D31" s="73">
        <v>0.43</v>
      </c>
      <c r="E31" s="86">
        <v>2.46</v>
      </c>
      <c r="F31" s="47" t="s">
        <v>32</v>
      </c>
      <c r="G31" s="49" t="s">
        <v>32</v>
      </c>
      <c r="H31" s="47" t="s">
        <v>32</v>
      </c>
      <c r="I31" s="48" t="s">
        <v>32</v>
      </c>
      <c r="J31" s="73">
        <v>0.44</v>
      </c>
      <c r="K31" s="86">
        <v>2.27</v>
      </c>
      <c r="L31" s="73">
        <v>0.44</v>
      </c>
      <c r="M31" s="86">
        <v>2.21</v>
      </c>
      <c r="N31" s="47" t="s">
        <v>32</v>
      </c>
      <c r="O31" s="48" t="s">
        <v>32</v>
      </c>
    </row>
    <row r="32" spans="2:22" ht="18" customHeight="1">
      <c r="B32" s="87">
        <v>10</v>
      </c>
      <c r="C32" s="82"/>
      <c r="D32" s="70">
        <v>0.53</v>
      </c>
      <c r="E32" s="83">
        <v>2.48</v>
      </c>
      <c r="F32" s="70">
        <v>0.53</v>
      </c>
      <c r="G32" s="83">
        <v>2.1</v>
      </c>
      <c r="H32" s="70">
        <v>0.53</v>
      </c>
      <c r="I32" s="72">
        <v>2.1</v>
      </c>
      <c r="J32" s="70">
        <v>0.55000000000000004</v>
      </c>
      <c r="K32" s="83">
        <v>2.27</v>
      </c>
      <c r="L32" s="70">
        <v>0.55000000000000004</v>
      </c>
      <c r="M32" s="83">
        <v>1.96</v>
      </c>
      <c r="N32" s="70">
        <v>0.52</v>
      </c>
      <c r="O32" s="72">
        <v>1.63</v>
      </c>
    </row>
    <row r="33" spans="2:15" ht="18" customHeight="1">
      <c r="B33" s="84">
        <v>12</v>
      </c>
      <c r="C33" s="85"/>
      <c r="D33" s="73">
        <v>0.77</v>
      </c>
      <c r="E33" s="86">
        <v>2.92</v>
      </c>
      <c r="F33" s="73">
        <v>0.77</v>
      </c>
      <c r="G33" s="86">
        <v>2</v>
      </c>
      <c r="H33" s="73">
        <v>0.77</v>
      </c>
      <c r="I33" s="75">
        <v>2</v>
      </c>
      <c r="J33" s="73">
        <v>0.79</v>
      </c>
      <c r="K33" s="86">
        <v>2.27</v>
      </c>
      <c r="L33" s="73">
        <v>0.79</v>
      </c>
      <c r="M33" s="86">
        <v>2.0299999999999998</v>
      </c>
      <c r="N33" s="73">
        <v>0.69</v>
      </c>
      <c r="O33" s="75">
        <v>1.61</v>
      </c>
    </row>
    <row r="34" spans="2:15" ht="18" customHeight="1">
      <c r="B34" s="87">
        <v>14</v>
      </c>
      <c r="C34" s="82"/>
      <c r="D34" s="70">
        <v>1.05</v>
      </c>
      <c r="E34" s="83">
        <v>2.9</v>
      </c>
      <c r="F34" s="70">
        <v>1.05</v>
      </c>
      <c r="G34" s="83">
        <v>2</v>
      </c>
      <c r="H34" s="70">
        <v>1.05</v>
      </c>
      <c r="I34" s="72">
        <v>2</v>
      </c>
      <c r="J34" s="70">
        <v>1.07</v>
      </c>
      <c r="K34" s="83">
        <v>2.27</v>
      </c>
      <c r="L34" s="70">
        <v>1.07</v>
      </c>
      <c r="M34" s="83">
        <v>1.97</v>
      </c>
      <c r="N34" s="70">
        <v>0.86</v>
      </c>
      <c r="O34" s="72">
        <v>1.59</v>
      </c>
    </row>
    <row r="35" spans="2:15" ht="18" customHeight="1">
      <c r="B35" s="84">
        <v>16</v>
      </c>
      <c r="C35" s="85"/>
      <c r="D35" s="73">
        <v>1.38</v>
      </c>
      <c r="E35" s="86">
        <v>2.69</v>
      </c>
      <c r="F35" s="73">
        <v>1.37</v>
      </c>
      <c r="G35" s="86">
        <v>1.8</v>
      </c>
      <c r="H35" s="73">
        <v>1.37</v>
      </c>
      <c r="I35" s="75">
        <v>1.8</v>
      </c>
      <c r="J35" s="73">
        <v>1.4</v>
      </c>
      <c r="K35" s="86">
        <v>2.27</v>
      </c>
      <c r="L35" s="73">
        <v>1.4</v>
      </c>
      <c r="M35" s="86">
        <v>1.94</v>
      </c>
      <c r="N35" s="73">
        <v>1.04</v>
      </c>
      <c r="O35" s="75">
        <v>1.61</v>
      </c>
    </row>
    <row r="36" spans="2:15" ht="18" customHeight="1">
      <c r="B36" s="87">
        <v>18</v>
      </c>
      <c r="C36" s="82"/>
      <c r="D36" s="44" t="s">
        <v>32</v>
      </c>
      <c r="E36" s="45" t="s">
        <v>32</v>
      </c>
      <c r="F36" s="44" t="s">
        <v>32</v>
      </c>
      <c r="G36" s="45" t="s">
        <v>32</v>
      </c>
      <c r="H36" s="44" t="s">
        <v>32</v>
      </c>
      <c r="I36" s="46" t="s">
        <v>32</v>
      </c>
      <c r="J36" s="44" t="s">
        <v>32</v>
      </c>
      <c r="K36" s="45" t="s">
        <v>32</v>
      </c>
      <c r="L36" s="44" t="s">
        <v>32</v>
      </c>
      <c r="M36" s="45" t="s">
        <v>32</v>
      </c>
      <c r="N36" s="70">
        <v>1.21</v>
      </c>
      <c r="O36" s="72">
        <v>1.59</v>
      </c>
    </row>
    <row r="37" spans="2:15" ht="18" customHeight="1">
      <c r="B37" s="84">
        <v>19</v>
      </c>
      <c r="C37" s="85"/>
      <c r="D37" s="47" t="s">
        <v>32</v>
      </c>
      <c r="E37" s="49" t="s">
        <v>32</v>
      </c>
      <c r="F37" s="47" t="s">
        <v>32</v>
      </c>
      <c r="G37" s="49" t="s">
        <v>32</v>
      </c>
      <c r="H37" s="47" t="s">
        <v>32</v>
      </c>
      <c r="I37" s="48" t="s">
        <v>32</v>
      </c>
      <c r="J37" s="47" t="s">
        <v>32</v>
      </c>
      <c r="K37" s="49" t="s">
        <v>32</v>
      </c>
      <c r="L37" s="47" t="s">
        <v>32</v>
      </c>
      <c r="M37" s="49" t="s">
        <v>32</v>
      </c>
      <c r="N37" s="47" t="s">
        <v>32</v>
      </c>
      <c r="O37" s="48" t="s">
        <v>32</v>
      </c>
    </row>
    <row r="38" spans="2:15" ht="18" customHeight="1">
      <c r="B38" s="87">
        <v>20</v>
      </c>
      <c r="C38" s="82"/>
      <c r="D38" s="44" t="s">
        <v>32</v>
      </c>
      <c r="E38" s="45" t="s">
        <v>32</v>
      </c>
      <c r="F38" s="44" t="s">
        <v>32</v>
      </c>
      <c r="G38" s="45" t="s">
        <v>32</v>
      </c>
      <c r="H38" s="44" t="s">
        <v>32</v>
      </c>
      <c r="I38" s="46" t="s">
        <v>32</v>
      </c>
      <c r="J38" s="44" t="s">
        <v>32</v>
      </c>
      <c r="K38" s="45" t="s">
        <v>32</v>
      </c>
      <c r="L38" s="44" t="s">
        <v>32</v>
      </c>
      <c r="M38" s="45" t="s">
        <v>32</v>
      </c>
      <c r="N38" s="70">
        <v>1.47</v>
      </c>
      <c r="O38" s="72">
        <v>1.61</v>
      </c>
    </row>
    <row r="39" spans="2:15" ht="18" customHeight="1">
      <c r="B39" s="84">
        <v>22</v>
      </c>
      <c r="C39" s="85"/>
      <c r="D39" s="47" t="s">
        <v>32</v>
      </c>
      <c r="E39" s="49" t="s">
        <v>32</v>
      </c>
      <c r="F39" s="47" t="s">
        <v>32</v>
      </c>
      <c r="G39" s="49" t="s">
        <v>32</v>
      </c>
      <c r="H39" s="47" t="s">
        <v>32</v>
      </c>
      <c r="I39" s="48" t="s">
        <v>32</v>
      </c>
      <c r="J39" s="73">
        <v>2.64</v>
      </c>
      <c r="K39" s="86">
        <v>2.13</v>
      </c>
      <c r="L39" s="47" t="s">
        <v>32</v>
      </c>
      <c r="M39" s="49" t="s">
        <v>32</v>
      </c>
      <c r="N39" s="73">
        <v>1.83</v>
      </c>
      <c r="O39" s="75">
        <v>1.6</v>
      </c>
    </row>
    <row r="40" spans="2:15" ht="18" customHeight="1">
      <c r="B40" s="87">
        <v>24</v>
      </c>
      <c r="C40" s="82"/>
      <c r="D40" s="44" t="s">
        <v>32</v>
      </c>
      <c r="E40" s="45" t="s">
        <v>32</v>
      </c>
      <c r="F40" s="44" t="s">
        <v>32</v>
      </c>
      <c r="G40" s="45" t="s">
        <v>32</v>
      </c>
      <c r="H40" s="44" t="s">
        <v>32</v>
      </c>
      <c r="I40" s="46" t="s">
        <v>32</v>
      </c>
      <c r="J40" s="44" t="s">
        <v>32</v>
      </c>
      <c r="K40" s="45" t="s">
        <v>32</v>
      </c>
      <c r="L40" s="44" t="s">
        <v>32</v>
      </c>
      <c r="M40" s="45" t="s">
        <v>32</v>
      </c>
      <c r="N40" s="44" t="s">
        <v>32</v>
      </c>
      <c r="O40" s="46" t="s">
        <v>32</v>
      </c>
    </row>
    <row r="41" spans="2:15" ht="18" customHeight="1">
      <c r="B41" s="84">
        <v>26</v>
      </c>
      <c r="C41" s="85"/>
      <c r="D41" s="47" t="s">
        <v>32</v>
      </c>
      <c r="E41" s="49" t="s">
        <v>32</v>
      </c>
      <c r="F41" s="47" t="s">
        <v>32</v>
      </c>
      <c r="G41" s="49" t="s">
        <v>32</v>
      </c>
      <c r="H41" s="47" t="s">
        <v>32</v>
      </c>
      <c r="I41" s="48" t="s">
        <v>32</v>
      </c>
      <c r="J41" s="47" t="s">
        <v>32</v>
      </c>
      <c r="K41" s="49" t="s">
        <v>32</v>
      </c>
      <c r="L41" s="47" t="s">
        <v>32</v>
      </c>
      <c r="M41" s="49" t="s">
        <v>32</v>
      </c>
      <c r="N41" s="47" t="s">
        <v>32</v>
      </c>
      <c r="O41" s="48" t="s">
        <v>32</v>
      </c>
    </row>
    <row r="42" spans="2:15" ht="18" customHeight="1">
      <c r="B42" s="87">
        <v>30</v>
      </c>
      <c r="C42" s="82"/>
      <c r="D42" s="44" t="s">
        <v>32</v>
      </c>
      <c r="E42" s="45" t="s">
        <v>32</v>
      </c>
      <c r="F42" s="44" t="s">
        <v>32</v>
      </c>
      <c r="G42" s="45" t="s">
        <v>32</v>
      </c>
      <c r="H42" s="44" t="s">
        <v>32</v>
      </c>
      <c r="I42" s="46" t="s">
        <v>32</v>
      </c>
      <c r="J42" s="44" t="s">
        <v>32</v>
      </c>
      <c r="K42" s="45" t="s">
        <v>32</v>
      </c>
      <c r="L42" s="44" t="s">
        <v>32</v>
      </c>
      <c r="M42" s="45" t="s">
        <v>32</v>
      </c>
      <c r="N42" s="44" t="s">
        <v>32</v>
      </c>
      <c r="O42" s="46" t="s">
        <v>32</v>
      </c>
    </row>
    <row r="43" spans="2:15" ht="18" customHeight="1">
      <c r="B43" s="88">
        <v>40</v>
      </c>
      <c r="C43" s="89"/>
      <c r="D43" s="50" t="s">
        <v>32</v>
      </c>
      <c r="E43" s="51" t="s">
        <v>32</v>
      </c>
      <c r="F43" s="50" t="s">
        <v>32</v>
      </c>
      <c r="G43" s="51" t="s">
        <v>32</v>
      </c>
      <c r="H43" s="50" t="s">
        <v>32</v>
      </c>
      <c r="I43" s="52" t="s">
        <v>32</v>
      </c>
      <c r="J43" s="50" t="s">
        <v>32</v>
      </c>
      <c r="K43" s="51" t="s">
        <v>32</v>
      </c>
      <c r="L43" s="50" t="s">
        <v>32</v>
      </c>
      <c r="M43" s="51" t="s">
        <v>32</v>
      </c>
      <c r="N43" s="50" t="s">
        <v>32</v>
      </c>
      <c r="O43" s="52" t="s">
        <v>32</v>
      </c>
    </row>
    <row r="44" spans="2:15" ht="18" customHeight="1">
      <c r="B44" s="20"/>
      <c r="C44" s="20"/>
      <c r="D44" s="66"/>
      <c r="E44" s="90"/>
      <c r="F44" s="66"/>
      <c r="G44" s="91"/>
      <c r="H44" s="66"/>
      <c r="I44" s="92"/>
      <c r="J44" s="66"/>
      <c r="K44" s="91"/>
      <c r="L44" s="66"/>
      <c r="M44" s="91"/>
      <c r="N44" s="66"/>
      <c r="O44" s="92"/>
    </row>
    <row r="45" spans="2:15" ht="18" customHeight="1">
      <c r="B45" s="20"/>
      <c r="C45" s="20"/>
      <c r="D45" s="197" t="s">
        <v>232</v>
      </c>
      <c r="E45" s="198"/>
      <c r="F45" s="197" t="s">
        <v>233</v>
      </c>
      <c r="G45" s="198"/>
      <c r="H45" s="227" t="s">
        <v>234</v>
      </c>
      <c r="I45" s="228"/>
      <c r="J45" s="227" t="s">
        <v>235</v>
      </c>
      <c r="K45" s="229"/>
      <c r="L45" s="227" t="s">
        <v>236</v>
      </c>
      <c r="M45" s="229"/>
      <c r="N45" s="227" t="s">
        <v>237</v>
      </c>
      <c r="O45" s="228"/>
    </row>
    <row r="46" spans="2:15" ht="42" customHeight="1">
      <c r="B46" s="199" t="s">
        <v>229</v>
      </c>
      <c r="C46" s="199"/>
      <c r="D46" s="197"/>
      <c r="E46" s="198"/>
      <c r="F46" s="197"/>
      <c r="G46" s="198"/>
      <c r="H46" s="227"/>
      <c r="I46" s="228"/>
      <c r="J46" s="227"/>
      <c r="K46" s="229"/>
      <c r="L46" s="227"/>
      <c r="M46" s="229"/>
      <c r="N46" s="227"/>
      <c r="O46" s="228"/>
    </row>
    <row r="47" spans="2:15" ht="18" customHeight="1">
      <c r="B47" s="199"/>
      <c r="C47" s="199"/>
      <c r="D47" s="68" t="s">
        <v>230</v>
      </c>
      <c r="E47" s="79" t="s">
        <v>231</v>
      </c>
      <c r="F47" s="68" t="s">
        <v>230</v>
      </c>
      <c r="G47" s="79" t="s">
        <v>231</v>
      </c>
      <c r="H47" s="68" t="s">
        <v>230</v>
      </c>
      <c r="I47" s="80" t="s">
        <v>231</v>
      </c>
      <c r="J47" s="68" t="s">
        <v>230</v>
      </c>
      <c r="K47" s="79" t="s">
        <v>231</v>
      </c>
      <c r="L47" s="68" t="s">
        <v>230</v>
      </c>
      <c r="M47" s="79" t="s">
        <v>231</v>
      </c>
      <c r="N47" s="68" t="s">
        <v>230</v>
      </c>
      <c r="O47" s="80" t="s">
        <v>231</v>
      </c>
    </row>
    <row r="48" spans="2:15" ht="18" customHeight="1">
      <c r="B48" s="81">
        <v>4</v>
      </c>
      <c r="C48" s="82"/>
      <c r="D48" s="93">
        <v>0.08</v>
      </c>
      <c r="E48" s="94">
        <v>1.63</v>
      </c>
      <c r="F48" s="93">
        <v>0.09</v>
      </c>
      <c r="G48" s="94">
        <v>2.3199999999999998</v>
      </c>
      <c r="H48" s="44" t="s">
        <v>32</v>
      </c>
      <c r="I48" s="46" t="s">
        <v>32</v>
      </c>
      <c r="J48" s="70">
        <v>0.09</v>
      </c>
      <c r="K48" s="83">
        <v>2.92</v>
      </c>
      <c r="L48" s="44" t="s">
        <v>32</v>
      </c>
      <c r="M48" s="45" t="s">
        <v>32</v>
      </c>
      <c r="N48" s="44" t="s">
        <v>32</v>
      </c>
      <c r="O48" s="46" t="s">
        <v>32</v>
      </c>
    </row>
    <row r="49" spans="2:15" ht="18" customHeight="1">
      <c r="B49" s="84">
        <v>5</v>
      </c>
      <c r="C49" s="85"/>
      <c r="D49" s="73">
        <v>0.13</v>
      </c>
      <c r="E49" s="86">
        <v>1.66</v>
      </c>
      <c r="F49" s="73">
        <v>0.14000000000000001</v>
      </c>
      <c r="G49" s="86">
        <v>2.31</v>
      </c>
      <c r="H49" s="47" t="s">
        <v>32</v>
      </c>
      <c r="I49" s="48" t="s">
        <v>32</v>
      </c>
      <c r="J49" s="73">
        <v>0.14000000000000001</v>
      </c>
      <c r="K49" s="86">
        <v>2.99</v>
      </c>
      <c r="L49" s="53" t="s">
        <v>32</v>
      </c>
      <c r="M49" s="54" t="s">
        <v>32</v>
      </c>
      <c r="N49" s="73">
        <v>0.14000000000000001</v>
      </c>
      <c r="O49" s="75">
        <v>1.62</v>
      </c>
    </row>
    <row r="50" spans="2:15" ht="18" customHeight="1">
      <c r="B50" s="87">
        <v>6</v>
      </c>
      <c r="C50" s="82"/>
      <c r="D50" s="70">
        <v>0.18</v>
      </c>
      <c r="E50" s="83">
        <v>2.9</v>
      </c>
      <c r="F50" s="70">
        <v>0.2</v>
      </c>
      <c r="G50" s="83">
        <v>2.3199999999999998</v>
      </c>
      <c r="H50" s="70">
        <v>0.18</v>
      </c>
      <c r="I50" s="72">
        <v>1.5</v>
      </c>
      <c r="J50" s="70">
        <v>0.2</v>
      </c>
      <c r="K50" s="83">
        <v>3.08</v>
      </c>
      <c r="L50" s="70">
        <v>0.2</v>
      </c>
      <c r="M50" s="83">
        <v>2.39</v>
      </c>
      <c r="N50" s="70">
        <v>0.2</v>
      </c>
      <c r="O50" s="72">
        <v>1.78</v>
      </c>
    </row>
    <row r="51" spans="2:15" ht="18" customHeight="1">
      <c r="B51" s="84">
        <v>7</v>
      </c>
      <c r="C51" s="85"/>
      <c r="D51" s="47" t="s">
        <v>32</v>
      </c>
      <c r="E51" s="49" t="s">
        <v>32</v>
      </c>
      <c r="F51" s="73">
        <v>0.27</v>
      </c>
      <c r="G51" s="86">
        <v>2.3199999999999998</v>
      </c>
      <c r="H51" s="47" t="s">
        <v>32</v>
      </c>
      <c r="I51" s="48" t="s">
        <v>32</v>
      </c>
      <c r="J51" s="73">
        <v>0.27</v>
      </c>
      <c r="K51" s="86">
        <v>2.85</v>
      </c>
      <c r="L51" s="53" t="s">
        <v>32</v>
      </c>
      <c r="M51" s="54" t="s">
        <v>32</v>
      </c>
      <c r="N51" s="73">
        <v>0.27</v>
      </c>
      <c r="O51" s="75">
        <v>1.62</v>
      </c>
    </row>
    <row r="52" spans="2:15" ht="18" customHeight="1">
      <c r="B52" s="87">
        <v>8</v>
      </c>
      <c r="C52" s="82"/>
      <c r="D52" s="70">
        <v>0.33</v>
      </c>
      <c r="E52" s="83">
        <v>2.52</v>
      </c>
      <c r="F52" s="70">
        <v>0.35</v>
      </c>
      <c r="G52" s="83">
        <v>2.33</v>
      </c>
      <c r="H52" s="70">
        <v>0.33</v>
      </c>
      <c r="I52" s="72">
        <v>1.46</v>
      </c>
      <c r="J52" s="70">
        <v>0.35</v>
      </c>
      <c r="K52" s="83">
        <v>2.65</v>
      </c>
      <c r="L52" s="70">
        <v>0.35</v>
      </c>
      <c r="M52" s="83">
        <v>2.89</v>
      </c>
      <c r="N52" s="70">
        <v>0.35</v>
      </c>
      <c r="O52" s="72">
        <v>1.36</v>
      </c>
    </row>
    <row r="53" spans="2:15" ht="18" customHeight="1">
      <c r="B53" s="84">
        <v>9</v>
      </c>
      <c r="C53" s="85"/>
      <c r="D53" s="47" t="s">
        <v>32</v>
      </c>
      <c r="E53" s="49" t="s">
        <v>32</v>
      </c>
      <c r="F53" s="95">
        <v>0.44</v>
      </c>
      <c r="G53" s="96">
        <v>2.33</v>
      </c>
      <c r="H53" s="47" t="s">
        <v>32</v>
      </c>
      <c r="I53" s="48" t="s">
        <v>32</v>
      </c>
      <c r="J53" s="73">
        <v>0.44</v>
      </c>
      <c r="K53" s="86">
        <v>2.23</v>
      </c>
      <c r="L53" s="47" t="s">
        <v>32</v>
      </c>
      <c r="M53" s="49" t="s">
        <v>32</v>
      </c>
      <c r="N53" s="47" t="s">
        <v>32</v>
      </c>
      <c r="O53" s="48" t="s">
        <v>32</v>
      </c>
    </row>
    <row r="54" spans="2:15" ht="18" customHeight="1">
      <c r="B54" s="87">
        <v>10</v>
      </c>
      <c r="C54" s="82"/>
      <c r="D54" s="70">
        <v>0.53</v>
      </c>
      <c r="E54" s="83">
        <v>2.41</v>
      </c>
      <c r="F54" s="70">
        <v>0.55000000000000004</v>
      </c>
      <c r="G54" s="83">
        <v>2.3199999999999998</v>
      </c>
      <c r="H54" s="70">
        <v>0.52</v>
      </c>
      <c r="I54" s="72">
        <v>1.52</v>
      </c>
      <c r="J54" s="70">
        <v>0.55000000000000004</v>
      </c>
      <c r="K54" s="83">
        <v>2.42</v>
      </c>
      <c r="L54" s="70">
        <v>0.55000000000000004</v>
      </c>
      <c r="M54" s="83">
        <v>2.98</v>
      </c>
      <c r="N54" s="70">
        <v>0.55000000000000004</v>
      </c>
      <c r="O54" s="72">
        <v>1.68</v>
      </c>
    </row>
    <row r="55" spans="2:15" ht="18" customHeight="1">
      <c r="B55" s="84">
        <v>12</v>
      </c>
      <c r="C55" s="85"/>
      <c r="D55" s="73">
        <v>0.76</v>
      </c>
      <c r="E55" s="86">
        <v>2.38</v>
      </c>
      <c r="F55" s="73">
        <v>0.79</v>
      </c>
      <c r="G55" s="86">
        <v>2.3199999999999998</v>
      </c>
      <c r="H55" s="73">
        <v>0.76</v>
      </c>
      <c r="I55" s="75">
        <v>1.48</v>
      </c>
      <c r="J55" s="73">
        <v>0.79</v>
      </c>
      <c r="K55" s="86">
        <v>2.52</v>
      </c>
      <c r="L55" s="73">
        <v>0.79</v>
      </c>
      <c r="M55" s="86">
        <v>2.79</v>
      </c>
      <c r="N55" s="73">
        <v>0.79</v>
      </c>
      <c r="O55" s="75">
        <v>2.77</v>
      </c>
    </row>
    <row r="56" spans="2:15" ht="18" customHeight="1">
      <c r="B56" s="87">
        <v>14</v>
      </c>
      <c r="C56" s="82"/>
      <c r="D56" s="70">
        <v>1.04</v>
      </c>
      <c r="E56" s="83">
        <v>2.29</v>
      </c>
      <c r="F56" s="70">
        <v>1.07</v>
      </c>
      <c r="G56" s="83">
        <v>2.33</v>
      </c>
      <c r="H56" s="70">
        <v>1.04</v>
      </c>
      <c r="I56" s="72">
        <v>1.69</v>
      </c>
      <c r="J56" s="70">
        <v>1.07</v>
      </c>
      <c r="K56" s="83">
        <v>2.35</v>
      </c>
      <c r="L56" s="70">
        <v>1.07</v>
      </c>
      <c r="M56" s="83">
        <v>2.65</v>
      </c>
      <c r="N56" s="70">
        <v>1.07</v>
      </c>
      <c r="O56" s="72">
        <v>2.4300000000000002</v>
      </c>
    </row>
    <row r="57" spans="2:15" ht="18" customHeight="1">
      <c r="B57" s="84">
        <v>16</v>
      </c>
      <c r="C57" s="85"/>
      <c r="D57" s="73">
        <v>1.36</v>
      </c>
      <c r="E57" s="86">
        <v>2.29</v>
      </c>
      <c r="F57" s="73">
        <v>1.4</v>
      </c>
      <c r="G57" s="86">
        <v>2.33</v>
      </c>
      <c r="H57" s="73">
        <v>1.36</v>
      </c>
      <c r="I57" s="75">
        <v>1.54</v>
      </c>
      <c r="J57" s="73">
        <v>1.4</v>
      </c>
      <c r="K57" s="86">
        <v>2.34</v>
      </c>
      <c r="L57" s="73">
        <v>1.4</v>
      </c>
      <c r="M57" s="86">
        <v>2.5099999999999998</v>
      </c>
      <c r="N57" s="73">
        <v>1.4</v>
      </c>
      <c r="O57" s="75">
        <v>2.89</v>
      </c>
    </row>
    <row r="58" spans="2:15" ht="18" customHeight="1">
      <c r="B58" s="87">
        <v>18</v>
      </c>
      <c r="C58" s="82"/>
      <c r="D58" s="93">
        <v>1.74</v>
      </c>
      <c r="E58" s="94">
        <v>2.4300000000000002</v>
      </c>
      <c r="F58" s="44" t="s">
        <v>32</v>
      </c>
      <c r="G58" s="45" t="s">
        <v>32</v>
      </c>
      <c r="H58" s="44" t="s">
        <v>32</v>
      </c>
      <c r="I58" s="46" t="s">
        <v>32</v>
      </c>
      <c r="J58" s="44" t="s">
        <v>32</v>
      </c>
      <c r="K58" s="45" t="s">
        <v>32</v>
      </c>
      <c r="L58" s="44" t="s">
        <v>32</v>
      </c>
      <c r="M58" s="45" t="s">
        <v>32</v>
      </c>
      <c r="N58" s="70">
        <v>1.77</v>
      </c>
      <c r="O58" s="72">
        <v>1.66</v>
      </c>
    </row>
    <row r="59" spans="2:15" ht="18" customHeight="1">
      <c r="B59" s="84">
        <v>19</v>
      </c>
      <c r="C59" s="85"/>
      <c r="D59" s="95">
        <v>2.72</v>
      </c>
      <c r="E59" s="96">
        <v>2.92</v>
      </c>
      <c r="F59" s="47" t="s">
        <v>32</v>
      </c>
      <c r="G59" s="49" t="s">
        <v>32</v>
      </c>
      <c r="H59" s="47" t="s">
        <v>32</v>
      </c>
      <c r="I59" s="48" t="s">
        <v>32</v>
      </c>
      <c r="J59" s="47" t="s">
        <v>32</v>
      </c>
      <c r="K59" s="49" t="s">
        <v>32</v>
      </c>
      <c r="L59" s="47" t="s">
        <v>32</v>
      </c>
      <c r="M59" s="49" t="s">
        <v>32</v>
      </c>
      <c r="N59" s="47" t="s">
        <v>32</v>
      </c>
      <c r="O59" s="48" t="s">
        <v>32</v>
      </c>
    </row>
    <row r="60" spans="2:15" ht="18" customHeight="1">
      <c r="B60" s="87">
        <v>20</v>
      </c>
      <c r="C60" s="82"/>
      <c r="D60" s="44" t="s">
        <v>32</v>
      </c>
      <c r="E60" s="45" t="s">
        <v>32</v>
      </c>
      <c r="F60" s="44" t="s">
        <v>32</v>
      </c>
      <c r="G60" s="45" t="s">
        <v>32</v>
      </c>
      <c r="H60" s="44" t="s">
        <v>32</v>
      </c>
      <c r="I60" s="46" t="s">
        <v>32</v>
      </c>
      <c r="J60" s="44" t="s">
        <v>32</v>
      </c>
      <c r="K60" s="45" t="s">
        <v>32</v>
      </c>
      <c r="L60" s="44" t="s">
        <v>32</v>
      </c>
      <c r="M60" s="45" t="s">
        <v>32</v>
      </c>
      <c r="N60" s="70">
        <v>2.1800000000000002</v>
      </c>
      <c r="O60" s="72">
        <v>1.75</v>
      </c>
    </row>
    <row r="61" spans="2:15" ht="18" customHeight="1">
      <c r="B61" s="84">
        <v>22</v>
      </c>
      <c r="C61" s="85"/>
      <c r="D61" s="95">
        <v>3.55</v>
      </c>
      <c r="E61" s="96">
        <v>2.65</v>
      </c>
      <c r="F61" s="95">
        <v>2.67</v>
      </c>
      <c r="G61" s="96">
        <v>2.33</v>
      </c>
      <c r="H61" s="47" t="s">
        <v>32</v>
      </c>
      <c r="I61" s="48" t="s">
        <v>32</v>
      </c>
      <c r="J61" s="47" t="s">
        <v>32</v>
      </c>
      <c r="K61" s="49" t="s">
        <v>32</v>
      </c>
      <c r="L61" s="47" t="s">
        <v>32</v>
      </c>
      <c r="M61" s="49" t="s">
        <v>32</v>
      </c>
      <c r="N61" s="47" t="s">
        <v>32</v>
      </c>
      <c r="O61" s="48" t="s">
        <v>32</v>
      </c>
    </row>
    <row r="62" spans="2:15" ht="18" customHeight="1">
      <c r="B62" s="87">
        <v>24</v>
      </c>
      <c r="C62" s="82"/>
      <c r="D62" s="44" t="s">
        <v>32</v>
      </c>
      <c r="E62" s="45" t="s">
        <v>32</v>
      </c>
      <c r="F62" s="44" t="s">
        <v>32</v>
      </c>
      <c r="G62" s="45" t="s">
        <v>32</v>
      </c>
      <c r="H62" s="44" t="s">
        <v>32</v>
      </c>
      <c r="I62" s="46" t="s">
        <v>32</v>
      </c>
      <c r="J62" s="44" t="s">
        <v>32</v>
      </c>
      <c r="K62" s="45" t="s">
        <v>32</v>
      </c>
      <c r="L62" s="44" t="s">
        <v>32</v>
      </c>
      <c r="M62" s="45" t="s">
        <v>32</v>
      </c>
      <c r="N62" s="93">
        <v>3.14</v>
      </c>
      <c r="O62" s="97">
        <v>1.75</v>
      </c>
    </row>
    <row r="63" spans="2:15" ht="18" customHeight="1">
      <c r="B63" s="84">
        <v>26</v>
      </c>
      <c r="C63" s="85"/>
      <c r="D63" s="47" t="s">
        <v>32</v>
      </c>
      <c r="E63" s="49" t="s">
        <v>32</v>
      </c>
      <c r="F63" s="47" t="s">
        <v>32</v>
      </c>
      <c r="G63" s="49" t="s">
        <v>32</v>
      </c>
      <c r="H63" s="47" t="s">
        <v>32</v>
      </c>
      <c r="I63" s="48" t="s">
        <v>32</v>
      </c>
      <c r="J63" s="47" t="s">
        <v>32</v>
      </c>
      <c r="K63" s="49" t="s">
        <v>32</v>
      </c>
      <c r="L63" s="47" t="s">
        <v>32</v>
      </c>
      <c r="M63" s="49" t="s">
        <v>32</v>
      </c>
      <c r="N63" s="47" t="s">
        <v>32</v>
      </c>
      <c r="O63" s="48" t="s">
        <v>32</v>
      </c>
    </row>
    <row r="64" spans="2:15" ht="18" customHeight="1">
      <c r="B64" s="87">
        <v>30</v>
      </c>
      <c r="C64" s="82"/>
      <c r="D64" s="44" t="s">
        <v>32</v>
      </c>
      <c r="E64" s="45" t="s">
        <v>32</v>
      </c>
      <c r="F64" s="44" t="s">
        <v>32</v>
      </c>
      <c r="G64" s="45" t="s">
        <v>32</v>
      </c>
      <c r="H64" s="44" t="s">
        <v>32</v>
      </c>
      <c r="I64" s="46" t="s">
        <v>32</v>
      </c>
      <c r="J64" s="44" t="s">
        <v>32</v>
      </c>
      <c r="K64" s="45" t="s">
        <v>32</v>
      </c>
      <c r="L64" s="44" t="s">
        <v>32</v>
      </c>
      <c r="M64" s="45" t="s">
        <v>32</v>
      </c>
      <c r="N64" s="44" t="s">
        <v>32</v>
      </c>
      <c r="O64" s="46" t="s">
        <v>32</v>
      </c>
    </row>
    <row r="65" spans="2:15" ht="18" customHeight="1">
      <c r="B65" s="88">
        <v>40</v>
      </c>
      <c r="C65" s="89"/>
      <c r="D65" s="50" t="s">
        <v>32</v>
      </c>
      <c r="E65" s="51" t="s">
        <v>32</v>
      </c>
      <c r="F65" s="50" t="s">
        <v>32</v>
      </c>
      <c r="G65" s="51" t="s">
        <v>32</v>
      </c>
      <c r="H65" s="50" t="s">
        <v>32</v>
      </c>
      <c r="I65" s="52" t="s">
        <v>32</v>
      </c>
      <c r="J65" s="50" t="s">
        <v>32</v>
      </c>
      <c r="K65" s="51" t="s">
        <v>32</v>
      </c>
      <c r="L65" s="50" t="s">
        <v>32</v>
      </c>
      <c r="M65" s="51" t="s">
        <v>32</v>
      </c>
      <c r="N65" s="50" t="s">
        <v>32</v>
      </c>
      <c r="O65" s="52" t="s">
        <v>32</v>
      </c>
    </row>
    <row r="66" spans="2:15" ht="18" customHeight="1">
      <c r="B66" s="20"/>
      <c r="C66" s="20"/>
      <c r="D66" s="66"/>
      <c r="E66" s="90"/>
      <c r="F66" s="66"/>
      <c r="G66" s="91"/>
      <c r="H66" s="66"/>
      <c r="I66" s="92"/>
      <c r="J66" s="66"/>
      <c r="K66" s="91"/>
      <c r="L66" s="20"/>
      <c r="M66" s="20"/>
      <c r="N66" s="20"/>
      <c r="O66" s="20"/>
    </row>
    <row r="67" spans="2:15" ht="18" customHeight="1">
      <c r="B67" s="20"/>
      <c r="C67" s="20"/>
      <c r="D67" s="197" t="s">
        <v>238</v>
      </c>
      <c r="E67" s="198"/>
      <c r="F67" s="197" t="s">
        <v>239</v>
      </c>
      <c r="G67" s="198"/>
      <c r="H67" s="227" t="s">
        <v>240</v>
      </c>
      <c r="I67" s="228"/>
      <c r="J67" s="227" t="s">
        <v>241</v>
      </c>
      <c r="K67" s="229"/>
      <c r="L67" s="20"/>
      <c r="M67" s="20"/>
      <c r="N67" s="20"/>
      <c r="O67" s="20"/>
    </row>
    <row r="68" spans="2:15" ht="42" customHeight="1">
      <c r="B68" s="199"/>
      <c r="C68" s="199"/>
      <c r="D68" s="197"/>
      <c r="E68" s="198"/>
      <c r="F68" s="197"/>
      <c r="G68" s="198"/>
      <c r="H68" s="227"/>
      <c r="I68" s="228"/>
      <c r="J68" s="227"/>
      <c r="K68" s="229"/>
      <c r="L68" s="20"/>
      <c r="M68" s="20"/>
      <c r="N68" s="20"/>
      <c r="O68" s="20"/>
    </row>
    <row r="69" spans="2:15" ht="18" customHeight="1">
      <c r="B69" s="199" t="s">
        <v>229</v>
      </c>
      <c r="C69" s="199"/>
      <c r="D69" s="68" t="s">
        <v>230</v>
      </c>
      <c r="E69" s="79" t="s">
        <v>231</v>
      </c>
      <c r="F69" s="68" t="s">
        <v>230</v>
      </c>
      <c r="G69" s="79" t="s">
        <v>231</v>
      </c>
      <c r="H69" s="68" t="s">
        <v>230</v>
      </c>
      <c r="I69" s="80" t="s">
        <v>231</v>
      </c>
      <c r="J69" s="68" t="s">
        <v>230</v>
      </c>
      <c r="K69" s="79" t="s">
        <v>231</v>
      </c>
      <c r="L69" s="20"/>
      <c r="M69" s="20"/>
      <c r="N69" s="20"/>
      <c r="O69" s="20"/>
    </row>
    <row r="70" spans="2:15" ht="18" customHeight="1">
      <c r="B70" s="81">
        <v>4</v>
      </c>
      <c r="C70" s="82"/>
      <c r="D70" s="44" t="s">
        <v>32</v>
      </c>
      <c r="E70" s="45" t="s">
        <v>32</v>
      </c>
      <c r="F70" s="93">
        <v>0.09</v>
      </c>
      <c r="G70" s="94">
        <v>1.63</v>
      </c>
      <c r="H70" s="93">
        <v>0.09</v>
      </c>
      <c r="I70" s="97">
        <v>2.8</v>
      </c>
      <c r="J70" s="70">
        <v>0.09</v>
      </c>
      <c r="K70" s="83">
        <v>1.69</v>
      </c>
      <c r="L70" s="20"/>
      <c r="M70" s="20"/>
      <c r="N70" s="20"/>
      <c r="O70" s="20"/>
    </row>
    <row r="71" spans="2:15" ht="18" customHeight="1">
      <c r="B71" s="84">
        <v>5</v>
      </c>
      <c r="C71" s="85"/>
      <c r="D71" s="73">
        <v>0.14000000000000001</v>
      </c>
      <c r="E71" s="86">
        <v>1.62</v>
      </c>
      <c r="F71" s="73">
        <v>0.14000000000000001</v>
      </c>
      <c r="G71" s="86">
        <v>1.95</v>
      </c>
      <c r="H71" s="73">
        <v>0.14000000000000001</v>
      </c>
      <c r="I71" s="75">
        <v>3</v>
      </c>
      <c r="J71" s="73">
        <v>0.14000000000000001</v>
      </c>
      <c r="K71" s="86">
        <v>1.5</v>
      </c>
      <c r="L71" s="20"/>
      <c r="M71" s="20"/>
      <c r="N71" s="20"/>
      <c r="O71" s="20"/>
    </row>
    <row r="72" spans="2:15" ht="18" customHeight="1">
      <c r="B72" s="87">
        <v>6</v>
      </c>
      <c r="C72" s="82"/>
      <c r="D72" s="70">
        <v>0.2</v>
      </c>
      <c r="E72" s="83">
        <v>1.78</v>
      </c>
      <c r="F72" s="70">
        <v>0.2</v>
      </c>
      <c r="G72" s="83">
        <v>3.07</v>
      </c>
      <c r="H72" s="70">
        <v>0.2</v>
      </c>
      <c r="I72" s="72">
        <v>2.9</v>
      </c>
      <c r="J72" s="70">
        <v>0.2</v>
      </c>
      <c r="K72" s="83">
        <v>2.31</v>
      </c>
      <c r="L72" s="20"/>
      <c r="M72" s="20"/>
      <c r="N72" s="20"/>
      <c r="O72" s="20"/>
    </row>
    <row r="73" spans="2:15" ht="18" customHeight="1">
      <c r="B73" s="84">
        <v>7</v>
      </c>
      <c r="C73" s="85"/>
      <c r="D73" s="73">
        <v>0.27</v>
      </c>
      <c r="E73" s="86">
        <v>1.62</v>
      </c>
      <c r="F73" s="73">
        <v>0.27</v>
      </c>
      <c r="G73" s="86">
        <v>2.57</v>
      </c>
      <c r="H73" s="73">
        <v>0.27</v>
      </c>
      <c r="I73" s="75">
        <v>3</v>
      </c>
      <c r="J73" s="47" t="s">
        <v>32</v>
      </c>
      <c r="K73" s="49" t="s">
        <v>32</v>
      </c>
      <c r="L73" s="20"/>
      <c r="M73" s="20"/>
      <c r="N73" s="20"/>
      <c r="O73" s="20"/>
    </row>
    <row r="74" spans="2:15" ht="18" customHeight="1">
      <c r="B74" s="87">
        <v>8</v>
      </c>
      <c r="C74" s="82"/>
      <c r="D74" s="70">
        <v>0.35</v>
      </c>
      <c r="E74" s="83">
        <v>1.36</v>
      </c>
      <c r="F74" s="70">
        <v>0.35</v>
      </c>
      <c r="G74" s="83">
        <v>2.39</v>
      </c>
      <c r="H74" s="70">
        <v>0.35</v>
      </c>
      <c r="I74" s="72">
        <v>2.9</v>
      </c>
      <c r="J74" s="70">
        <v>0.35</v>
      </c>
      <c r="K74" s="83">
        <v>2.1800000000000002</v>
      </c>
      <c r="L74" s="20"/>
      <c r="M74" s="20"/>
      <c r="N74" s="20"/>
      <c r="O74" s="20"/>
    </row>
    <row r="75" spans="2:15" ht="18" customHeight="1">
      <c r="B75" s="84">
        <v>9</v>
      </c>
      <c r="C75" s="85"/>
      <c r="D75" s="47" t="s">
        <v>32</v>
      </c>
      <c r="E75" s="49" t="s">
        <v>32</v>
      </c>
      <c r="F75" s="95">
        <v>0.44</v>
      </c>
      <c r="G75" s="96">
        <v>2.2999999999999998</v>
      </c>
      <c r="H75" s="47" t="s">
        <v>32</v>
      </c>
      <c r="I75" s="48" t="s">
        <v>32</v>
      </c>
      <c r="J75" s="47" t="s">
        <v>32</v>
      </c>
      <c r="K75" s="49" t="s">
        <v>32</v>
      </c>
      <c r="L75" s="20"/>
      <c r="M75" s="20"/>
      <c r="N75" s="20"/>
      <c r="O75" s="20"/>
    </row>
    <row r="76" spans="2:15" ht="18" customHeight="1">
      <c r="B76" s="87">
        <v>10</v>
      </c>
      <c r="C76" s="82"/>
      <c r="D76" s="70">
        <v>0.55000000000000004</v>
      </c>
      <c r="E76" s="83">
        <v>1.68</v>
      </c>
      <c r="F76" s="70">
        <v>0.55000000000000004</v>
      </c>
      <c r="G76" s="83">
        <v>2.31</v>
      </c>
      <c r="H76" s="70">
        <v>0.55000000000000004</v>
      </c>
      <c r="I76" s="72">
        <v>3</v>
      </c>
      <c r="J76" s="70">
        <v>0.55000000000000004</v>
      </c>
      <c r="K76" s="83">
        <v>2.06</v>
      </c>
      <c r="L76" s="20"/>
      <c r="M76" s="20"/>
      <c r="N76" s="20"/>
      <c r="O76" s="20"/>
    </row>
    <row r="77" spans="2:15" ht="18" customHeight="1">
      <c r="B77" s="84">
        <v>12</v>
      </c>
      <c r="C77" s="85"/>
      <c r="D77" s="73">
        <v>0.79</v>
      </c>
      <c r="E77" s="86">
        <v>2.77</v>
      </c>
      <c r="F77" s="73">
        <v>0.79</v>
      </c>
      <c r="G77" s="86">
        <v>2.76</v>
      </c>
      <c r="H77" s="73">
        <v>0.79</v>
      </c>
      <c r="I77" s="75">
        <v>3</v>
      </c>
      <c r="J77" s="73">
        <v>0.79</v>
      </c>
      <c r="K77" s="86">
        <v>2.2000000000000002</v>
      </c>
      <c r="L77" s="20"/>
      <c r="M77" s="20"/>
      <c r="N77" s="20"/>
      <c r="O77" s="20"/>
    </row>
    <row r="78" spans="2:15" ht="18" customHeight="1">
      <c r="B78" s="87">
        <v>14</v>
      </c>
      <c r="C78" s="82"/>
      <c r="D78" s="70">
        <v>1.07</v>
      </c>
      <c r="E78" s="83">
        <v>2.4300000000000002</v>
      </c>
      <c r="F78" s="70">
        <v>1.07</v>
      </c>
      <c r="G78" s="83">
        <v>2.02</v>
      </c>
      <c r="H78" s="70">
        <v>1.07</v>
      </c>
      <c r="I78" s="72">
        <v>3</v>
      </c>
      <c r="J78" s="70">
        <v>1.07</v>
      </c>
      <c r="K78" s="83">
        <v>2.2000000000000002</v>
      </c>
      <c r="L78" s="20"/>
      <c r="M78" s="20"/>
      <c r="N78" s="20"/>
      <c r="O78" s="20"/>
    </row>
    <row r="79" spans="2:15" ht="18" customHeight="1">
      <c r="B79" s="84">
        <v>16</v>
      </c>
      <c r="C79" s="85"/>
      <c r="D79" s="73">
        <v>1.4</v>
      </c>
      <c r="E79" s="86">
        <v>2.89</v>
      </c>
      <c r="F79" s="73">
        <v>1.4</v>
      </c>
      <c r="G79" s="86">
        <v>1.1200000000000001</v>
      </c>
      <c r="H79" s="73">
        <v>1.4</v>
      </c>
      <c r="I79" s="75">
        <v>3</v>
      </c>
      <c r="J79" s="73">
        <v>1.4</v>
      </c>
      <c r="K79" s="86">
        <v>2.1800000000000002</v>
      </c>
      <c r="L79" s="20"/>
      <c r="M79" s="20"/>
      <c r="N79" s="20"/>
      <c r="O79" s="20"/>
    </row>
    <row r="80" spans="2:15" ht="18" customHeight="1">
      <c r="B80" s="87">
        <v>18</v>
      </c>
      <c r="C80" s="82"/>
      <c r="D80" s="93">
        <v>1.77</v>
      </c>
      <c r="E80" s="94">
        <v>1.66</v>
      </c>
      <c r="F80" s="44" t="s">
        <v>32</v>
      </c>
      <c r="G80" s="45" t="s">
        <v>32</v>
      </c>
      <c r="H80" s="93">
        <v>2</v>
      </c>
      <c r="I80" s="97">
        <v>3</v>
      </c>
      <c r="J80" s="44" t="s">
        <v>32</v>
      </c>
      <c r="K80" s="45" t="s">
        <v>32</v>
      </c>
      <c r="L80" s="20"/>
      <c r="M80" s="20"/>
      <c r="N80" s="20"/>
      <c r="O80" s="20"/>
    </row>
    <row r="81" spans="2:15" ht="18" customHeight="1">
      <c r="B81" s="84">
        <v>19</v>
      </c>
      <c r="C81" s="85"/>
      <c r="D81" s="47" t="s">
        <v>32</v>
      </c>
      <c r="E81" s="49" t="s">
        <v>32</v>
      </c>
      <c r="F81" s="47" t="s">
        <v>32</v>
      </c>
      <c r="G81" s="49" t="s">
        <v>32</v>
      </c>
      <c r="H81" s="47" t="s">
        <v>32</v>
      </c>
      <c r="I81" s="48" t="s">
        <v>32</v>
      </c>
      <c r="J81" s="47" t="s">
        <v>32</v>
      </c>
      <c r="K81" s="49" t="s">
        <v>32</v>
      </c>
      <c r="L81" s="20"/>
      <c r="M81" s="20"/>
      <c r="N81" s="20"/>
      <c r="O81" s="20"/>
    </row>
    <row r="82" spans="2:15" ht="18" customHeight="1">
      <c r="B82" s="87">
        <v>20</v>
      </c>
      <c r="C82" s="82"/>
      <c r="D82" s="93">
        <v>2.1800000000000002</v>
      </c>
      <c r="E82" s="94">
        <v>1.75</v>
      </c>
      <c r="F82" s="93">
        <v>0.78</v>
      </c>
      <c r="G82" s="94">
        <v>2.19</v>
      </c>
      <c r="H82" s="44" t="s">
        <v>32</v>
      </c>
      <c r="I82" s="46" t="s">
        <v>32</v>
      </c>
      <c r="J82" s="44" t="s">
        <v>32</v>
      </c>
      <c r="K82" s="45" t="s">
        <v>32</v>
      </c>
      <c r="L82" s="20"/>
      <c r="M82" s="20"/>
      <c r="N82" s="20"/>
      <c r="O82" s="20"/>
    </row>
    <row r="83" spans="2:15" ht="18" customHeight="1">
      <c r="B83" s="84">
        <v>22</v>
      </c>
      <c r="C83" s="85"/>
      <c r="D83" s="47" t="s">
        <v>32</v>
      </c>
      <c r="E83" s="49" t="s">
        <v>32</v>
      </c>
      <c r="F83" s="95">
        <v>0.78</v>
      </c>
      <c r="G83" s="96">
        <v>2.19</v>
      </c>
      <c r="H83" s="95">
        <v>2.44</v>
      </c>
      <c r="I83" s="98">
        <v>3</v>
      </c>
      <c r="J83" s="47" t="s">
        <v>32</v>
      </c>
      <c r="K83" s="49" t="s">
        <v>32</v>
      </c>
      <c r="L83" s="20"/>
      <c r="M83" s="20"/>
      <c r="N83" s="20"/>
      <c r="O83" s="20"/>
    </row>
    <row r="84" spans="2:15" ht="18" customHeight="1">
      <c r="B84" s="87">
        <v>24</v>
      </c>
      <c r="C84" s="82"/>
      <c r="D84" s="93">
        <v>3.14</v>
      </c>
      <c r="E84" s="94">
        <v>1.75</v>
      </c>
      <c r="F84" s="44" t="s">
        <v>32</v>
      </c>
      <c r="G84" s="45" t="s">
        <v>32</v>
      </c>
      <c r="H84" s="44" t="s">
        <v>32</v>
      </c>
      <c r="I84" s="46" t="s">
        <v>32</v>
      </c>
      <c r="J84" s="44" t="s">
        <v>32</v>
      </c>
      <c r="K84" s="45" t="s">
        <v>32</v>
      </c>
      <c r="L84" s="20"/>
      <c r="M84" s="20"/>
      <c r="N84" s="20"/>
      <c r="O84" s="20"/>
    </row>
    <row r="85" spans="2:15" ht="18" customHeight="1">
      <c r="B85" s="84">
        <v>26</v>
      </c>
      <c r="C85" s="85"/>
      <c r="D85" s="47" t="s">
        <v>32</v>
      </c>
      <c r="E85" s="49" t="s">
        <v>32</v>
      </c>
      <c r="F85" s="95">
        <v>1</v>
      </c>
      <c r="G85" s="96">
        <v>2.57</v>
      </c>
      <c r="H85" s="47" t="s">
        <v>32</v>
      </c>
      <c r="I85" s="48" t="s">
        <v>32</v>
      </c>
      <c r="J85" s="47" t="s">
        <v>32</v>
      </c>
      <c r="K85" s="49" t="s">
        <v>32</v>
      </c>
      <c r="L85" s="20"/>
      <c r="M85" s="20"/>
      <c r="N85" s="20"/>
      <c r="O85" s="20"/>
    </row>
    <row r="86" spans="2:15" ht="18" customHeight="1">
      <c r="B86" s="87">
        <v>30</v>
      </c>
      <c r="C86" s="82"/>
      <c r="D86" s="44" t="s">
        <v>32</v>
      </c>
      <c r="E86" s="45" t="s">
        <v>32</v>
      </c>
      <c r="F86" s="44" t="s">
        <v>32</v>
      </c>
      <c r="G86" s="45" t="s">
        <v>32</v>
      </c>
      <c r="H86" s="93">
        <v>3.33</v>
      </c>
      <c r="I86" s="97">
        <v>3</v>
      </c>
      <c r="J86" s="44" t="s">
        <v>32</v>
      </c>
      <c r="K86" s="45" t="s">
        <v>32</v>
      </c>
      <c r="L86" s="20"/>
      <c r="M86" s="20"/>
      <c r="N86" s="20"/>
      <c r="O86" s="20"/>
    </row>
    <row r="87" spans="2:15" ht="18" customHeight="1">
      <c r="B87" s="88">
        <v>40</v>
      </c>
      <c r="C87" s="89"/>
      <c r="D87" s="50" t="s">
        <v>32</v>
      </c>
      <c r="E87" s="51" t="s">
        <v>32</v>
      </c>
      <c r="F87" s="99">
        <v>2.67</v>
      </c>
      <c r="G87" s="100">
        <v>2.2200000000000002</v>
      </c>
      <c r="H87" s="50" t="s">
        <v>32</v>
      </c>
      <c r="I87" s="52" t="s">
        <v>32</v>
      </c>
      <c r="J87" s="50" t="s">
        <v>32</v>
      </c>
      <c r="K87" s="51" t="s">
        <v>32</v>
      </c>
      <c r="L87" s="20"/>
      <c r="M87" s="20"/>
      <c r="N87" s="20"/>
      <c r="O87" s="20"/>
    </row>
    <row r="88" spans="2:15">
      <c r="B88" s="20"/>
      <c r="C88" s="20"/>
      <c r="D88" s="20"/>
      <c r="E88" s="101"/>
      <c r="F88" s="20"/>
      <c r="G88" s="20"/>
      <c r="H88" s="20"/>
      <c r="I88" s="20"/>
      <c r="J88" s="20"/>
      <c r="K88" s="20"/>
      <c r="L88" s="20"/>
      <c r="M88" s="20"/>
      <c r="N88" s="20"/>
      <c r="O88" s="20"/>
    </row>
    <row r="89" spans="2:15">
      <c r="B89" s="20"/>
      <c r="C89" s="20"/>
      <c r="D89" s="20"/>
      <c r="E89" s="101"/>
      <c r="F89" s="20"/>
      <c r="G89" s="20"/>
      <c r="H89" s="20"/>
      <c r="I89" s="20"/>
      <c r="J89" s="20"/>
      <c r="K89" s="20"/>
      <c r="L89" s="20"/>
      <c r="M89" s="20"/>
      <c r="N89" s="20"/>
      <c r="O89" s="20"/>
    </row>
  </sheetData>
  <mergeCells count="22">
    <mergeCell ref="D2:E2"/>
    <mergeCell ref="D3:E3"/>
    <mergeCell ref="D23:E24"/>
    <mergeCell ref="F23:G24"/>
    <mergeCell ref="H23:I24"/>
    <mergeCell ref="J23:K24"/>
    <mergeCell ref="L23:M24"/>
    <mergeCell ref="N23:O24"/>
    <mergeCell ref="B24:C25"/>
    <mergeCell ref="D45:E46"/>
    <mergeCell ref="F45:G46"/>
    <mergeCell ref="H45:I46"/>
    <mergeCell ref="J45:K46"/>
    <mergeCell ref="L45:M46"/>
    <mergeCell ref="N45:O46"/>
    <mergeCell ref="B46:C47"/>
    <mergeCell ref="D67:E68"/>
    <mergeCell ref="F67:G68"/>
    <mergeCell ref="H67:I68"/>
    <mergeCell ref="J67:K68"/>
    <mergeCell ref="B68:C69"/>
    <mergeCell ref="B4:C4"/>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8ED84D117EEC3A48B38A9D23BD59BDF300BDFE768635FF1D45B9F13672FBE66948" ma:contentTypeVersion="45" ma:contentTypeDescription="Create a new document." ma:contentTypeScope="" ma:versionID="f9600bb58d7869f63e540b66a2a31b52">
  <xsd:schema xmlns:xsd="http://www.w3.org/2001/XMLSchema" xmlns:xs="http://www.w3.org/2001/XMLSchema" xmlns:p="http://schemas.microsoft.com/office/2006/metadata/properties" xmlns:ns2="aebf0b0d-b0a8-42fa-a79c-f0328f1a0c29" xmlns:ns3="d175ebc3-c0c5-4020-a068-eb0e8470fdbf" xmlns:ns4="33f1e331-aaa7-49a0-b1cc-5d017474f660" xmlns:ns5="f6b92117-4d79-4493-a61c-0feabc8eaeeb" targetNamespace="http://schemas.microsoft.com/office/2006/metadata/properties" ma:root="true" ma:fieldsID="87202a1f86ceea26c63449d1b9c628cb" ns2:_="" ns3:_="" ns4:_="" ns5:_="">
    <xsd:import namespace="aebf0b0d-b0a8-42fa-a79c-f0328f1a0c29"/>
    <xsd:import namespace="d175ebc3-c0c5-4020-a068-eb0e8470fdbf"/>
    <xsd:import namespace="33f1e331-aaa7-49a0-b1cc-5d017474f660"/>
    <xsd:import namespace="f6b92117-4d79-4493-a61c-0feabc8eaeeb"/>
    <xsd:element name="properties">
      <xsd:complexType>
        <xsd:sequence>
          <xsd:element name="documentManagement">
            <xsd:complexType>
              <xsd:all>
                <xsd:element ref="ns2:Activity_Group" minOccurs="0"/>
                <xsd:element ref="ns2:Document_Name" minOccurs="0"/>
                <xsd:element ref="ns2:Document_Name_2" minOccurs="0"/>
                <xsd:element ref="ns2:Document_Name_3" minOccurs="0"/>
                <xsd:element ref="ns2:Document_Name_4" minOccurs="0"/>
                <xsd:element ref="ns2:Document_Number" minOccurs="0"/>
                <xsd:element ref="ns2:DocumentSFDCID" minOccurs="0"/>
                <xsd:element ref="ns2:Document_Type" minOccurs="0"/>
                <xsd:element ref="ns2:Estimate_Guid" minOccurs="0"/>
                <xsd:element ref="ns2:File_Name" minOccurs="0"/>
                <xsd:element ref="ns2:File_Type" minOccurs="0"/>
                <xsd:element ref="ns2:Folder_Id" minOccurs="0"/>
                <xsd:element ref="ns2:Is_Package" minOccurs="0"/>
                <xsd:element ref="ns2:Notes1" minOccurs="0"/>
                <xsd:element ref="ns2:Output_Language" minOccurs="0"/>
                <xsd:element ref="ns2:Package_List" minOccurs="0"/>
                <xsd:element ref="ns2:Package_Name" minOccurs="0"/>
                <xsd:element ref="ns2:Package_Type" minOccurs="0"/>
                <xsd:element ref="ns2:Process_Activity" minOccurs="0"/>
                <xsd:element ref="ns2:Process_Step" minOccurs="0"/>
                <xsd:element ref="ns2:Reference_Document_Id" minOccurs="0"/>
                <xsd:element ref="ns2:Reference_Id" minOccurs="0"/>
                <xsd:element ref="ns2:Scope_Definition" minOccurs="0"/>
                <xsd:element ref="ns2:Document_Status" minOccurs="0"/>
                <xsd:element ref="ns2:Package_Status" minOccurs="0"/>
                <xsd:element ref="ns2:Update_Mode" minOccurs="0"/>
                <xsd:element ref="ns2:Document_Owner" minOccurs="0"/>
                <xsd:element ref="ns2:Project_Guid" minOccurs="0"/>
                <xsd:element ref="ns2:Document_Version" minOccurs="0"/>
                <xsd:element ref="ns3:ErrorMessage" minOccurs="0"/>
                <xsd:element ref="ns4:MediaServiceMetadata" minOccurs="0"/>
                <xsd:element ref="ns4:MediaServiceFastMetadata" minOccurs="0"/>
                <xsd:element ref="ns4:MediaServiceSearchProperties" minOccurs="0"/>
                <xsd:element ref="ns4:MediaServiceObjectDetectorVersions" minOccurs="0"/>
                <xsd:element ref="ns5:TaxCatchAll" minOccurs="0"/>
                <xsd:element ref="ns4:MediaServiceDateTaken" minOccurs="0"/>
                <xsd:element ref="ns4:MediaServiceOCR" minOccurs="0"/>
                <xsd:element ref="ns4:MediaServiceGenerationTime" minOccurs="0"/>
                <xsd:element ref="ns4:MediaServiceEventHashCode"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f0b0d-b0a8-42fa-a79c-f0328f1a0c29" elementFormDefault="qualified">
    <xsd:import namespace="http://schemas.microsoft.com/office/2006/documentManagement/types"/>
    <xsd:import namespace="http://schemas.microsoft.com/office/infopath/2007/PartnerControls"/>
    <xsd:element name="Activity_Group" ma:index="8" nillable="true" ma:displayName="Activity Group" ma:internalName="Activity_Group">
      <xsd:simpleType>
        <xsd:restriction base="dms:Text">
          <xsd:maxLength value="255"/>
        </xsd:restriction>
      </xsd:simpleType>
    </xsd:element>
    <xsd:element name="Document_Name" ma:index="9" nillable="true" ma:displayName="Document Name" ma:internalName="Document_Name">
      <xsd:simpleType>
        <xsd:restriction base="dms:Text">
          <xsd:maxLength value="255"/>
        </xsd:restriction>
      </xsd:simpleType>
    </xsd:element>
    <xsd:element name="Document_Name_2" ma:index="10" nillable="true" ma:displayName="Document Name 2" ma:internalName="Document_Name_2">
      <xsd:simpleType>
        <xsd:restriction base="dms:Text">
          <xsd:maxLength value="255"/>
        </xsd:restriction>
      </xsd:simpleType>
    </xsd:element>
    <xsd:element name="Document_Name_3" ma:index="11" nillable="true" ma:displayName="Document Name 3" ma:internalName="Document_Name_3">
      <xsd:simpleType>
        <xsd:restriction base="dms:Text">
          <xsd:maxLength value="255"/>
        </xsd:restriction>
      </xsd:simpleType>
    </xsd:element>
    <xsd:element name="Document_Name_4" ma:index="12" nillable="true" ma:displayName="Document Name 4" ma:internalName="Document_Name_4">
      <xsd:simpleType>
        <xsd:restriction base="dms:Text">
          <xsd:maxLength value="255"/>
        </xsd:restriction>
      </xsd:simpleType>
    </xsd:element>
    <xsd:element name="Document_Number" ma:index="13" nillable="true" ma:displayName="Document Number" ma:internalName="Document_Number">
      <xsd:simpleType>
        <xsd:restriction base="dms:Text">
          <xsd:maxLength value="255"/>
        </xsd:restriction>
      </xsd:simpleType>
    </xsd:element>
    <xsd:element name="DocumentSFDCID" ma:index="14" nillable="true" ma:displayName="DocumentSFDCID" ma:internalName="DocumentSFDCID">
      <xsd:simpleType>
        <xsd:restriction base="dms:Text">
          <xsd:maxLength value="255"/>
        </xsd:restriction>
      </xsd:simpleType>
    </xsd:element>
    <xsd:element name="Document_Type" ma:index="15" nillable="true" ma:displayName="Document Type" ma:internalName="Document_Type">
      <xsd:simpleType>
        <xsd:restriction base="dms:Text">
          <xsd:maxLength value="255"/>
        </xsd:restriction>
      </xsd:simpleType>
    </xsd:element>
    <xsd:element name="Estimate_Guid" ma:index="16" nillable="true" ma:displayName="Estimate Guid" ma:internalName="Estimate_Guid">
      <xsd:simpleType>
        <xsd:restriction base="dms:Text">
          <xsd:maxLength value="255"/>
        </xsd:restriction>
      </xsd:simpleType>
    </xsd:element>
    <xsd:element name="File_Name" ma:index="17" nillable="true" ma:displayName="File Name" ma:internalName="File_Name">
      <xsd:simpleType>
        <xsd:restriction base="dms:Text">
          <xsd:maxLength value="255"/>
        </xsd:restriction>
      </xsd:simpleType>
    </xsd:element>
    <xsd:element name="File_Type" ma:index="18" nillable="true" ma:displayName="File Type" ma:internalName="File_Type">
      <xsd:simpleType>
        <xsd:restriction base="dms:Text">
          <xsd:maxLength value="255"/>
        </xsd:restriction>
      </xsd:simpleType>
    </xsd:element>
    <xsd:element name="Folder_Id" ma:index="19" nillable="true" ma:displayName="Folder Id" ma:internalName="Folder_Id">
      <xsd:simpleType>
        <xsd:restriction base="dms:Text">
          <xsd:maxLength value="255"/>
        </xsd:restriction>
      </xsd:simpleType>
    </xsd:element>
    <xsd:element name="Is_Package" ma:index="20" nillable="true" ma:displayName="Is Package" ma:default="0" ma:internalName="Is_Package">
      <xsd:simpleType>
        <xsd:restriction base="dms:Boolean"/>
      </xsd:simpleType>
    </xsd:element>
    <xsd:element name="Notes1" ma:index="21" nillable="true" ma:displayName="Notes" ma:internalName="Notes1">
      <xsd:simpleType>
        <xsd:restriction base="dms:Note">
          <xsd:maxLength value="255"/>
        </xsd:restriction>
      </xsd:simpleType>
    </xsd:element>
    <xsd:element name="Output_Language" ma:index="22" nillable="true" ma:displayName="Output Language" ma:internalName="Output_Language">
      <xsd:simpleType>
        <xsd:restriction base="dms:Text">
          <xsd:maxLength value="255"/>
        </xsd:restriction>
      </xsd:simpleType>
    </xsd:element>
    <xsd:element name="Package_List" ma:index="23" nillable="true" ma:displayName="Package List" ma:internalName="Package_List">
      <xsd:simpleType>
        <xsd:restriction base="dms:Text">
          <xsd:maxLength value="255"/>
        </xsd:restriction>
      </xsd:simpleType>
    </xsd:element>
    <xsd:element name="Package_Name" ma:index="24" nillable="true" ma:displayName="Package Name" ma:internalName="Package_Name">
      <xsd:simpleType>
        <xsd:restriction base="dms:Text">
          <xsd:maxLength value="255"/>
        </xsd:restriction>
      </xsd:simpleType>
    </xsd:element>
    <xsd:element name="Package_Type" ma:index="25" nillable="true" ma:displayName="Package Type" ma:internalName="Package_Type">
      <xsd:simpleType>
        <xsd:restriction base="dms:Text">
          <xsd:maxLength value="255"/>
        </xsd:restriction>
      </xsd:simpleType>
    </xsd:element>
    <xsd:element name="Process_Activity" ma:index="26" nillable="true" ma:displayName="Process Activity" ma:internalName="Process_Activity">
      <xsd:simpleType>
        <xsd:restriction base="dms:Text">
          <xsd:maxLength value="255"/>
        </xsd:restriction>
      </xsd:simpleType>
    </xsd:element>
    <xsd:element name="Process_Step" ma:index="27" nillable="true" ma:displayName="Process Step" ma:internalName="Process_Step">
      <xsd:simpleType>
        <xsd:restriction base="dms:Text">
          <xsd:maxLength value="255"/>
        </xsd:restriction>
      </xsd:simpleType>
    </xsd:element>
    <xsd:element name="Reference_Document_Id" ma:index="28" nillable="true" ma:displayName="Reference Document Id" ma:internalName="Reference_Document_Id">
      <xsd:simpleType>
        <xsd:restriction base="dms:Text">
          <xsd:maxLength value="255"/>
        </xsd:restriction>
      </xsd:simpleType>
    </xsd:element>
    <xsd:element name="Reference_Id" ma:index="29" nillable="true" ma:displayName="Reference Id" ma:internalName="Reference_Id">
      <xsd:simpleType>
        <xsd:restriction base="dms:Text">
          <xsd:maxLength value="255"/>
        </xsd:restriction>
      </xsd:simpleType>
    </xsd:element>
    <xsd:element name="Scope_Definition" ma:index="30" nillable="true" ma:displayName="Scope Definition" ma:internalName="Scope_Definition">
      <xsd:simpleType>
        <xsd:restriction base="dms:Note">
          <xsd:maxLength value="255"/>
        </xsd:restriction>
      </xsd:simpleType>
    </xsd:element>
    <xsd:element name="Document_Status" ma:index="31" nillable="true" ma:displayName="Document Status" ma:default="Success" ma:internalName="Document_Status">
      <xsd:simpleType>
        <xsd:restriction base="dms:Text">
          <xsd:maxLength value="255"/>
        </xsd:restriction>
      </xsd:simpleType>
    </xsd:element>
    <xsd:element name="Package_Status" ma:index="32" nillable="true" ma:displayName="Package Status" ma:internalName="Package_Status">
      <xsd:simpleType>
        <xsd:restriction base="dms:Text">
          <xsd:maxLength value="255"/>
        </xsd:restriction>
      </xsd:simpleType>
    </xsd:element>
    <xsd:element name="Update_Mode" ma:index="33" nillable="true" ma:displayName="Update Mode" ma:internalName="Update_Mode">
      <xsd:simpleType>
        <xsd:restriction base="dms:Text">
          <xsd:maxLength value="255"/>
        </xsd:restriction>
      </xsd:simpleType>
    </xsd:element>
    <xsd:element name="Document_Owner" ma:index="34" nillable="true" ma:displayName="Document Owner" ma:internalName="Document_Owner">
      <xsd:simpleType>
        <xsd:restriction base="dms:Text">
          <xsd:maxLength value="255"/>
        </xsd:restriction>
      </xsd:simpleType>
    </xsd:element>
    <xsd:element name="Project_Guid" ma:index="35" nillable="true" ma:displayName="Project Guid" ma:internalName="Project_Guid">
      <xsd:simpleType>
        <xsd:restriction base="dms:Text">
          <xsd:maxLength value="255"/>
        </xsd:restriction>
      </xsd:simpleType>
    </xsd:element>
    <xsd:element name="Document_Version" ma:index="36" nillable="true" ma:displayName="Document Version" ma:internalName="Document_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75ebc3-c0c5-4020-a068-eb0e8470fdbf" elementFormDefault="qualified">
    <xsd:import namespace="http://schemas.microsoft.com/office/2006/documentManagement/types"/>
    <xsd:import namespace="http://schemas.microsoft.com/office/infopath/2007/PartnerControls"/>
    <xsd:element name="ErrorMessage" ma:index="37" nillable="true" ma:displayName="ErrorMessage" ma:internalName="ErrorMessag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3f1e331-aaa7-49a0-b1cc-5d017474f660" elementFormDefault="qualified">
    <xsd:import namespace="http://schemas.microsoft.com/office/2006/documentManagement/types"/>
    <xsd:import namespace="http://schemas.microsoft.com/office/infopath/2007/PartnerControls"/>
    <xsd:element name="MediaServiceMetadata" ma:index="38" nillable="true" ma:displayName="MediaServiceMetadata" ma:hidden="true" ma:internalName="MediaServiceMetadata" ma:readOnly="true">
      <xsd:simpleType>
        <xsd:restriction base="dms:Note"/>
      </xsd:simpleType>
    </xsd:element>
    <xsd:element name="MediaServiceFastMetadata" ma:index="39" nillable="true" ma:displayName="MediaServiceFastMetadata" ma:hidden="true" ma:internalName="MediaServiceFastMetadata" ma:readOnly="true">
      <xsd:simpleType>
        <xsd:restriction base="dms:Note"/>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ObjectDetectorVersions" ma:index="41" nillable="true" ma:displayName="MediaServiceObjectDetectorVersions" ma:hidden="true" ma:indexed="true" ma:internalName="MediaServiceObjectDetectorVersions" ma:readOnly="true">
      <xsd:simpleType>
        <xsd:restriction base="dms:Text"/>
      </xsd:simpleType>
    </xsd:element>
    <xsd:element name="MediaServiceDateTaken" ma:index="43" nillable="true" ma:displayName="MediaServiceDateTaken" ma:hidden="true" ma:indexed="true" ma:internalName="MediaServiceDateTaken" ma:readOnly="true">
      <xsd:simpleType>
        <xsd:restriction base="dms:Text"/>
      </xsd:simpleType>
    </xsd:element>
    <xsd:element name="MediaServiceOCR" ma:index="44" nillable="true" ma:displayName="Extracted Text" ma:internalName="MediaServiceOCR" ma:readOnly="true">
      <xsd:simpleType>
        <xsd:restriction base="dms:Note">
          <xsd:maxLength value="255"/>
        </xsd:restriction>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lcf76f155ced4ddcb4097134ff3c332f" ma:index="48" nillable="true" ma:taxonomy="true" ma:internalName="lcf76f155ced4ddcb4097134ff3c332f" ma:taxonomyFieldName="MediaServiceImageTags" ma:displayName="Image Tags" ma:readOnly="false" ma:fieldId="{5cf76f15-5ced-4ddc-b409-7134ff3c332f}" ma:taxonomyMulti="true" ma:sspId="f2a00314-ae30-474d-911b-f8e025e1af2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b92117-4d79-4493-a61c-0feabc8eaeeb" elementFormDefault="qualified">
    <xsd:import namespace="http://schemas.microsoft.com/office/2006/documentManagement/types"/>
    <xsd:import namespace="http://schemas.microsoft.com/office/infopath/2007/PartnerControls"/>
    <xsd:element name="TaxCatchAll" ma:index="42" nillable="true" ma:displayName="Taxonomy Catch All Column" ma:hidden="true" ma:list="{bb0b114a-cd74-4228-a534-f6d7a007cf0e}" ma:internalName="TaxCatchAll" ma:showField="CatchAllData" ma:web="f6b92117-4d79-4493-a61c-0feabc8ea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B23E8A-B2CB-4361-A8A1-9F62C35006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f0b0d-b0a8-42fa-a79c-f0328f1a0c29"/>
    <ds:schemaRef ds:uri="d175ebc3-c0c5-4020-a068-eb0e8470fdbf"/>
    <ds:schemaRef ds:uri="33f1e331-aaa7-49a0-b1cc-5d017474f660"/>
    <ds:schemaRef ds:uri="f6b92117-4d79-4493-a61c-0feabc8eae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73DCBA-3781-469B-BFA1-EBD7C1124DDE}">
  <ds:schemaRefs>
    <ds:schemaRef ds:uri="http://schemas.microsoft.com/office/2006/metadata/longProperties"/>
  </ds:schemaRefs>
</ds:datastoreItem>
</file>

<file path=customXml/itemProps3.xml><?xml version="1.0" encoding="utf-8"?>
<ds:datastoreItem xmlns:ds="http://schemas.openxmlformats.org/officeDocument/2006/customXml" ds:itemID="{4B483EFD-4B9F-4623-A1F2-6F4BEDCC5E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Rapid Archive Schedule</vt:lpstr>
      <vt:lpstr>Column Descriptions</vt:lpstr>
      <vt:lpstr>J.R. Instructions</vt:lpstr>
      <vt:lpstr>Manufacturer</vt:lpstr>
      <vt:lpstr>New Empty Scratchpad</vt:lpstr>
      <vt:lpstr>Merge Empty Scratchpad</vt:lpstr>
      <vt:lpstr>New Site Examples</vt:lpstr>
      <vt:lpstr>Merged Site Examples</vt:lpstr>
      <vt:lpstr>VAV SD Parms</vt:lpstr>
      <vt:lpstr>VAV DD Parms</vt:lpstr>
      <vt:lpstr>Heating Valves Parms</vt:lpstr>
      <vt:lpstr>Misc Parms</vt:lpstr>
      <vt:lpstr>Area &amp; K-Factors</vt:lpstr>
    </vt:vector>
  </TitlesOfParts>
  <Company>Johnson Controls,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D Taylor</dc:creator>
  <cp:lastModifiedBy>Elias Manual Sepulveda</cp:lastModifiedBy>
  <dcterms:created xsi:type="dcterms:W3CDTF">2016-08-09T17:40:23Z</dcterms:created>
  <dcterms:modified xsi:type="dcterms:W3CDTF">2026-08-31T04:54:49Z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0x010100E04741D000ECEE49ADFD6551BB1E4B29</vt:lpwstr>
  </property>
  <property fmtid="{D5CDD505-2E9C-101B-9397-08002B2CF9AE}" pid="3" name="SharedWithUsers">
    <vt:lpwstr>103;#Eric Mark Gordon</vt:lpwstr>
  </property>
  <property fmtid="{D5CDD505-2E9C-101B-9397-08002B2CF9AE}" pid="4" name="PublishingExpirationDate">
    <vt:lpwstr/>
  </property>
  <property fmtid="{D5CDD505-2E9C-101B-9397-08002B2CF9AE}" pid="5" name="PublishingStartDate">
    <vt:lpwstr/>
  </property>
  <property fmtid="{D5CDD505-2E9C-101B-9397-08002B2CF9AE}" pid="6" name="Information Classification">
    <vt:lpwstr>Internal </vt:lpwstr>
  </property>
  <property fmtid="{D5CDD505-2E9C-101B-9397-08002B2CF9AE}" pid="7" name="Status">
    <vt:lpwstr/>
  </property>
  <property fmtid="{D5CDD505-2E9C-101B-9397-08002B2CF9AE}" pid="8" name="TaxCatchAll">
    <vt:lpwstr/>
  </property>
  <property fmtid="{D5CDD505-2E9C-101B-9397-08002B2CF9AE}" pid="9" name="lcf76f155ced4ddcb4097134ff3c332f">
    <vt:lpwstr/>
  </property>
  <property fmtid="{D5CDD505-2E9C-101B-9397-08002B2CF9AE}" pid="10" name="File_Name">
    <vt:lpwstr>RAC Schedule_Template.xls</vt:lpwstr>
  </property>
  <property fmtid="{D5CDD505-2E9C-101B-9397-08002B2CF9AE}" pid="11" name="Reference_Id">
    <vt:lpwstr>fdc5fbaf-f690-4c6b-90b4-2d53c08bcd96</vt:lpwstr>
  </property>
  <property fmtid="{D5CDD505-2E9C-101B-9397-08002B2CF9AE}" pid="12" name="File_Type">
    <vt:lpwstr>xls</vt:lpwstr>
  </property>
  <property fmtid="{D5CDD505-2E9C-101B-9397-08002B2CF9AE}" pid="13" name="Document_Name">
    <vt:lpwstr>RAC Schedule_Template</vt:lpwstr>
  </property>
  <property fmtid="{D5CDD505-2E9C-101B-9397-08002B2CF9AE}" pid="14" name="DocumentSFDCID">
    <vt:lpwstr/>
  </property>
  <property fmtid="{D5CDD505-2E9C-101B-9397-08002B2CF9AE}" pid="15" name="Document_Version">
    <vt:lpwstr/>
  </property>
  <property fmtid="{D5CDD505-2E9C-101B-9397-08002B2CF9AE}" pid="16" name="Is_Package">
    <vt:lpwstr>0</vt:lpwstr>
  </property>
  <property fmtid="{D5CDD505-2E9C-101B-9397-08002B2CF9AE}" pid="17" name="Package_Type">
    <vt:lpwstr/>
  </property>
  <property fmtid="{D5CDD505-2E9C-101B-9397-08002B2CF9AE}" pid="18" name="Folder_Id">
    <vt:lpwstr/>
  </property>
  <property fmtid="{D5CDD505-2E9C-101B-9397-08002B2CF9AE}" pid="19" name="Document_Status">
    <vt:lpwstr>Success</vt:lpwstr>
  </property>
  <property fmtid="{D5CDD505-2E9C-101B-9397-08002B2CF9AE}" pid="20" name="Document_Owner">
    <vt:lpwstr/>
  </property>
  <property fmtid="{D5CDD505-2E9C-101B-9397-08002B2CF9AE}" pid="21" name="Process_Activity">
    <vt:lpwstr/>
  </property>
  <property fmtid="{D5CDD505-2E9C-101B-9397-08002B2CF9AE}" pid="22" name="Reference_Document_Id">
    <vt:lpwstr/>
  </property>
  <property fmtid="{D5CDD505-2E9C-101B-9397-08002B2CF9AE}" pid="23" name="Document_Name_4">
    <vt:lpwstr/>
  </property>
  <property fmtid="{D5CDD505-2E9C-101B-9397-08002B2CF9AE}" pid="24" name="Output_Language">
    <vt:lpwstr/>
  </property>
  <property fmtid="{D5CDD505-2E9C-101B-9397-08002B2CF9AE}" pid="25" name="Scope_Definition">
    <vt:lpwstr/>
  </property>
  <property fmtid="{D5CDD505-2E9C-101B-9397-08002B2CF9AE}" pid="26" name="Activity_Group">
    <vt:lpwstr/>
  </property>
  <property fmtid="{D5CDD505-2E9C-101B-9397-08002B2CF9AE}" pid="27" name="Document_Name_3">
    <vt:lpwstr/>
  </property>
  <property fmtid="{D5CDD505-2E9C-101B-9397-08002B2CF9AE}" pid="28" name="Package_List">
    <vt:lpwstr/>
  </property>
  <property fmtid="{D5CDD505-2E9C-101B-9397-08002B2CF9AE}" pid="29" name="Package_Name">
    <vt:lpwstr/>
  </property>
  <property fmtid="{D5CDD505-2E9C-101B-9397-08002B2CF9AE}" pid="30" name="Document_Name_2">
    <vt:lpwstr/>
  </property>
  <property fmtid="{D5CDD505-2E9C-101B-9397-08002B2CF9AE}" pid="31" name="Document_Number">
    <vt:lpwstr/>
  </property>
  <property fmtid="{D5CDD505-2E9C-101B-9397-08002B2CF9AE}" pid="32" name="Document_Type">
    <vt:lpwstr/>
  </property>
  <property fmtid="{D5CDD505-2E9C-101B-9397-08002B2CF9AE}" pid="33" name="Package_Status">
    <vt:lpwstr/>
  </property>
  <property fmtid="{D5CDD505-2E9C-101B-9397-08002B2CF9AE}" pid="34" name="Project_Guid">
    <vt:lpwstr/>
  </property>
  <property fmtid="{D5CDD505-2E9C-101B-9397-08002B2CF9AE}" pid="35" name="Estimate_Guid">
    <vt:lpwstr/>
  </property>
  <property fmtid="{D5CDD505-2E9C-101B-9397-08002B2CF9AE}" pid="36" name="Process_Step">
    <vt:lpwstr/>
  </property>
  <property fmtid="{D5CDD505-2E9C-101B-9397-08002B2CF9AE}" pid="37" name="Update_Mode">
    <vt:lpwstr/>
  </property>
  <property fmtid="{D5CDD505-2E9C-101B-9397-08002B2CF9AE}" pid="38" name="Notes1">
    <vt:lpwstr/>
  </property>
  <property fmtid="{D5CDD505-2E9C-101B-9397-08002B2CF9AE}" pid="39" name="ErrorMessage">
    <vt:lpwstr/>
  </property>
</Properties>
</file>